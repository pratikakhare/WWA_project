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akhare.SHIPCO\complete\complete\complete\data\"/>
    </mc:Choice>
  </mc:AlternateContent>
  <xr:revisionPtr revIDLastSave="0" documentId="13_ncr:1_{2DBA7124-7F33-4098-9D68-EF41F116409B}" xr6:coauthVersionLast="47" xr6:coauthVersionMax="47" xr10:uidLastSave="{00000000-0000-0000-0000-000000000000}"/>
  <bookViews>
    <workbookView xWindow="-120" yWindow="-120" windowWidth="20730" windowHeight="11040" tabRatio="771" activeTab="1" xr2:uid="{DAC19A45-4006-4AF1-8E24-F3F31D98CD75}"/>
  </bookViews>
  <sheets>
    <sheet name="FAK-SCHEDULE" sheetId="1" r:id="rId1"/>
    <sheet name="FAK_Mastersheet" sheetId="7" r:id="rId2"/>
    <sheet name="Customer_Exception" sheetId="8" r:id="rId3"/>
    <sheet name="NAC" sheetId="2" state="hidden" r:id="rId4"/>
    <sheet name="NAC Award overview" sheetId="3" state="hidden" r:id="rId5"/>
    <sheet name="NAC Award - Missing response" sheetId="6" state="hidden" r:id="rId6"/>
    <sheet name="Droplist" sheetId="4" r:id="rId7"/>
    <sheet name="FAK-SETUP (2)" sheetId="10" r:id="rId8"/>
  </sheets>
  <externalReferences>
    <externalReference r:id="rId9"/>
  </externalReferences>
  <definedNames>
    <definedName name="_xlnm._FilterDatabase" localSheetId="6" hidden="1">Droplist!$A$1:$I$55</definedName>
    <definedName name="_xlnm._FilterDatabase" localSheetId="1" hidden="1">FAK_Mastersheet!$A$2:$AT$54</definedName>
    <definedName name="_xlnm._FilterDatabase" localSheetId="0" hidden="1">'FAK-SCHEDULE'!$A$2:$AC$54</definedName>
    <definedName name="_xlnm._FilterDatabase" localSheetId="7" hidden="1">'FAK-SETUP (2)'!$A$2:$AM$4</definedName>
    <definedName name="_xlnm._FilterDatabase" localSheetId="3" hidden="1">NAC!$B$2:$AM$67</definedName>
    <definedName name="_xlnm._FilterDatabase" localSheetId="5" hidden="1">'NAC Award - Missing response'!$A$2:$K$178</definedName>
    <definedName name="_xlnm._FilterDatabase" localSheetId="4" hidden="1">'NAC Award overview'!$A$1:$V$374</definedName>
    <definedName name="Customer">#REF!</definedName>
    <definedName name="RFQType">#REF!</definedName>
    <definedName name="TEA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A4" i="1" l="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3" i="1"/>
  <c r="AA17" i="1"/>
  <c r="AB17" i="1"/>
  <c r="AF67" i="2"/>
  <c r="AF65" i="2"/>
  <c r="AF63" i="2"/>
  <c r="AF62" i="2"/>
  <c r="AF61" i="2"/>
  <c r="AF59" i="2"/>
  <c r="AF54" i="2"/>
  <c r="AF51" i="2"/>
  <c r="AF49"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AK67" i="2" l="1"/>
  <c r="AL67" i="2"/>
  <c r="AM67" i="2"/>
  <c r="AH67" i="2"/>
  <c r="AJ67" i="2" s="1"/>
  <c r="B67" i="2"/>
  <c r="AK66" i="2"/>
  <c r="AL66" i="2"/>
  <c r="AM66" i="2"/>
  <c r="AH66" i="2"/>
  <c r="AJ66" i="2" s="1"/>
  <c r="B66" i="2"/>
  <c r="AK65" i="2"/>
  <c r="AL65" i="2"/>
  <c r="AM65" i="2"/>
  <c r="AH65" i="2"/>
  <c r="AJ65" i="2" s="1"/>
  <c r="B65" i="2"/>
  <c r="AK64" i="2"/>
  <c r="AL64" i="2"/>
  <c r="AM64" i="2"/>
  <c r="AH64" i="2"/>
  <c r="AJ64" i="2" s="1"/>
  <c r="B64" i="2"/>
  <c r="AK63" i="2"/>
  <c r="AL63" i="2"/>
  <c r="AM63" i="2"/>
  <c r="AH63" i="2"/>
  <c r="AJ63" i="2" s="1"/>
  <c r="B63" i="2"/>
  <c r="AK62" i="2"/>
  <c r="AL62" i="2"/>
  <c r="AM62" i="2"/>
  <c r="AH62" i="2"/>
  <c r="AJ62" i="2" s="1"/>
  <c r="B62" i="2"/>
  <c r="AK61" i="2"/>
  <c r="AL61" i="2"/>
  <c r="AM61" i="2"/>
  <c r="AH61" i="2"/>
  <c r="AJ61" i="2" s="1"/>
  <c r="B59" i="2"/>
  <c r="B61" i="2"/>
  <c r="AK60" i="2"/>
  <c r="AL60" i="2"/>
  <c r="AM60" i="2"/>
  <c r="AH60" i="2"/>
  <c r="AJ60" i="2" s="1"/>
  <c r="B60" i="2"/>
  <c r="AK58" i="2"/>
  <c r="AL58" i="2"/>
  <c r="AM58" i="2"/>
  <c r="AK59" i="2"/>
  <c r="AL59" i="2"/>
  <c r="AM59" i="2"/>
  <c r="AH58" i="2"/>
  <c r="AJ58" i="2" s="1"/>
  <c r="B58" i="2"/>
  <c r="AK57" i="2"/>
  <c r="AL57" i="2"/>
  <c r="AM57" i="2"/>
  <c r="AK56" i="2"/>
  <c r="AL56" i="2"/>
  <c r="AM56" i="2"/>
  <c r="B56" i="2"/>
  <c r="AM55" i="2"/>
  <c r="AL55" i="2"/>
  <c r="AK55" i="2"/>
  <c r="AG55" i="2"/>
  <c r="B55" i="2"/>
  <c r="AK54" i="2"/>
  <c r="AL54" i="2"/>
  <c r="AM54" i="2"/>
  <c r="B54" i="2"/>
  <c r="AK53" i="2"/>
  <c r="AL53" i="2"/>
  <c r="AM53" i="2"/>
  <c r="B53" i="2"/>
  <c r="B52" i="2"/>
  <c r="AM52" i="2"/>
  <c r="AL52" i="2"/>
  <c r="AK52" i="2"/>
  <c r="AG52" i="2"/>
  <c r="AK51" i="2"/>
  <c r="AL51" i="2"/>
  <c r="AM51" i="2"/>
  <c r="AG51" i="2"/>
  <c r="B51" i="2"/>
  <c r="AK50" i="2"/>
  <c r="AL50" i="2"/>
  <c r="AM50" i="2"/>
  <c r="AF50" i="2" s="1"/>
  <c r="AG50" i="2"/>
  <c r="B50" i="2"/>
  <c r="AK49" i="2"/>
  <c r="AL49" i="2"/>
  <c r="AM49" i="2"/>
  <c r="AG49" i="2"/>
  <c r="B49" i="2"/>
  <c r="AM48" i="2"/>
  <c r="AL48" i="2"/>
  <c r="AK48" i="2"/>
  <c r="AG48" i="2"/>
  <c r="B48" i="2"/>
  <c r="AK47" i="2"/>
  <c r="AL47" i="2"/>
  <c r="AM47" i="2"/>
  <c r="B47" i="2"/>
  <c r="AK46" i="2"/>
  <c r="AL46" i="2"/>
  <c r="AM46" i="2"/>
  <c r="AG46" i="2"/>
  <c r="B46" i="2"/>
  <c r="AH59" i="2" l="1"/>
  <c r="AJ59" i="2" s="1"/>
  <c r="AM44" i="2"/>
  <c r="AM45" i="2"/>
  <c r="AK44" i="2"/>
  <c r="AL44" i="2"/>
  <c r="AK45" i="2"/>
  <c r="AL45" i="2"/>
  <c r="AG45" i="2"/>
  <c r="AG44" i="2"/>
  <c r="B45" i="2"/>
  <c r="B44" i="2"/>
  <c r="Q374" i="3"/>
  <c r="Q373" i="3"/>
  <c r="Q372" i="3"/>
  <c r="Q371" i="3"/>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M370" i="3"/>
  <c r="M371" i="3"/>
  <c r="M372" i="3"/>
  <c r="M373" i="3"/>
  <c r="M374" i="3"/>
  <c r="J370" i="3"/>
  <c r="J371" i="3"/>
  <c r="J372" i="3"/>
  <c r="J373" i="3"/>
  <c r="J374" i="3"/>
  <c r="AB16" i="1"/>
  <c r="AA16" i="1"/>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AF42" i="2"/>
  <c r="AF41" i="2"/>
  <c r="AF40"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8" i="2"/>
  <c r="AF6" i="2"/>
  <c r="AF3" i="2"/>
  <c r="J369" i="3" l="1"/>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AM43" i="2"/>
  <c r="AF43" i="2" s="1"/>
  <c r="AM42" i="2"/>
  <c r="AM41" i="2"/>
  <c r="AM40" i="2"/>
  <c r="AM39" i="2"/>
  <c r="AF39" i="2" s="1"/>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F9" i="2" s="1"/>
  <c r="AM8" i="2"/>
  <c r="AM7" i="2"/>
  <c r="AF7" i="2" s="1"/>
  <c r="AM6" i="2"/>
  <c r="AM5" i="2"/>
  <c r="AF5" i="2" s="1"/>
  <c r="AM4" i="2"/>
  <c r="AF4" i="2" s="1"/>
  <c r="AM3" i="2"/>
  <c r="M352" i="3"/>
  <c r="M353" i="3"/>
  <c r="M354" i="3"/>
  <c r="M355" i="3"/>
  <c r="M356" i="3"/>
  <c r="M357" i="3"/>
  <c r="M358" i="3"/>
  <c r="M359" i="3"/>
  <c r="M360" i="3"/>
  <c r="M361" i="3"/>
  <c r="M362" i="3"/>
  <c r="M363" i="3"/>
  <c r="M364" i="3"/>
  <c r="M365" i="3"/>
  <c r="M366" i="3"/>
  <c r="M367" i="3"/>
  <c r="M368" i="3"/>
  <c r="M369" i="3"/>
  <c r="AK43" i="2" l="1"/>
  <c r="AL43" i="2"/>
  <c r="AK42" i="2"/>
  <c r="AL42" i="2"/>
  <c r="AK41" i="2"/>
  <c r="AL41" i="2"/>
  <c r="AK40" i="2"/>
  <c r="AL40" i="2"/>
  <c r="AK39" i="2"/>
  <c r="AL39" i="2"/>
  <c r="B39" i="2"/>
  <c r="B40" i="2"/>
  <c r="B41" i="2"/>
  <c r="B42" i="2"/>
  <c r="B43" i="2"/>
  <c r="B38" i="2" l="1"/>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AL38" i="2"/>
  <c r="AK38" i="2"/>
  <c r="AL37" i="2"/>
  <c r="AK37" i="2"/>
  <c r="AL36" i="2"/>
  <c r="AK36" i="2"/>
  <c r="AL35" i="2"/>
  <c r="AK35" i="2"/>
  <c r="AL34" i="2"/>
  <c r="AK34" i="2"/>
  <c r="AL33" i="2"/>
  <c r="AK33" i="2"/>
  <c r="AL32" i="2"/>
  <c r="AK32" i="2"/>
  <c r="AL31" i="2"/>
  <c r="AK31" i="2"/>
  <c r="AL30" i="2"/>
  <c r="AK30" i="2"/>
  <c r="AL29" i="2"/>
  <c r="AK29" i="2"/>
  <c r="AL28" i="2"/>
  <c r="AK28" i="2"/>
  <c r="AL27" i="2"/>
  <c r="AK27" i="2"/>
  <c r="AL26" i="2"/>
  <c r="AK26" i="2"/>
  <c r="AL25" i="2"/>
  <c r="AK25" i="2"/>
  <c r="AL24" i="2"/>
  <c r="AK24" i="2"/>
  <c r="AL23" i="2"/>
  <c r="AK23" i="2"/>
  <c r="AL22" i="2"/>
  <c r="AK22" i="2"/>
  <c r="AL21" i="2"/>
  <c r="AK21" i="2"/>
  <c r="AL20" i="2"/>
  <c r="AK20" i="2"/>
  <c r="AL19" i="2"/>
  <c r="AK19" i="2"/>
  <c r="AL18" i="2"/>
  <c r="AK18" i="2"/>
  <c r="AL17" i="2"/>
  <c r="AK17" i="2"/>
  <c r="AL16" i="2"/>
  <c r="AK16" i="2"/>
  <c r="AL15" i="2"/>
  <c r="AK15" i="2"/>
  <c r="AL14" i="2"/>
  <c r="AK14" i="2"/>
  <c r="AL13" i="2"/>
  <c r="AK13" i="2"/>
  <c r="AL12" i="2"/>
  <c r="AK12" i="2"/>
  <c r="AL11" i="2"/>
  <c r="AK11" i="2"/>
  <c r="AL10" i="2"/>
  <c r="AK10" i="2"/>
  <c r="AL9" i="2"/>
  <c r="AK9" i="2"/>
  <c r="AL8" i="2"/>
  <c r="AK8" i="2"/>
  <c r="AL7" i="2"/>
  <c r="AK7" i="2"/>
  <c r="AL6" i="2"/>
  <c r="AK6" i="2"/>
  <c r="AL5" i="2"/>
  <c r="AK5" i="2"/>
  <c r="AL4" i="2"/>
  <c r="AK4" i="2"/>
  <c r="AL3" i="2"/>
  <c r="AK3" i="2"/>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M2" i="3"/>
  <c r="AA7" i="1"/>
  <c r="AB54" i="1"/>
  <c r="AA54" i="1"/>
  <c r="AB53" i="1"/>
  <c r="AA53" i="1"/>
  <c r="AB52" i="1"/>
  <c r="AA52" i="1"/>
  <c r="AB51" i="1"/>
  <c r="AA51" i="1"/>
  <c r="AB50" i="1"/>
  <c r="AA50" i="1"/>
  <c r="AB49" i="1"/>
  <c r="AA49" i="1"/>
  <c r="AB48" i="1"/>
  <c r="AA48" i="1"/>
  <c r="AB47" i="1"/>
  <c r="AA47" i="1"/>
  <c r="AB46" i="1"/>
  <c r="AA46" i="1"/>
  <c r="AB45" i="1"/>
  <c r="AA45" i="1"/>
  <c r="AB44" i="1"/>
  <c r="AA44" i="1"/>
  <c r="AB43" i="1"/>
  <c r="AA43" i="1"/>
  <c r="AB42" i="1"/>
  <c r="AA42" i="1"/>
  <c r="AB41" i="1"/>
  <c r="AA41" i="1"/>
  <c r="AB40" i="1"/>
  <c r="AA40" i="1"/>
  <c r="AB39" i="1"/>
  <c r="AA39" i="1"/>
  <c r="AB38" i="1"/>
  <c r="AA38" i="1"/>
  <c r="AB37" i="1"/>
  <c r="AA37" i="1"/>
  <c r="AB36" i="1"/>
  <c r="AA36" i="1"/>
  <c r="AB35" i="1"/>
  <c r="AA35" i="1"/>
  <c r="AB34" i="1"/>
  <c r="AA34" i="1"/>
  <c r="AB33" i="1"/>
  <c r="AA33" i="1"/>
  <c r="AB32" i="1"/>
  <c r="AA32" i="1"/>
  <c r="AB31" i="1"/>
  <c r="AA31" i="1"/>
  <c r="AB30" i="1"/>
  <c r="AA30" i="1"/>
  <c r="AB29" i="1"/>
  <c r="AA29" i="1"/>
  <c r="AB28" i="1"/>
  <c r="AA28" i="1"/>
  <c r="AB27" i="1"/>
  <c r="AA27" i="1"/>
  <c r="AB26" i="1"/>
  <c r="AA26" i="1"/>
  <c r="AB25" i="1"/>
  <c r="AA25" i="1"/>
  <c r="AB24" i="1"/>
  <c r="AA24" i="1"/>
  <c r="AB23" i="1"/>
  <c r="AA23" i="1"/>
  <c r="AB22" i="1"/>
  <c r="AA22" i="1"/>
  <c r="AB21" i="1"/>
  <c r="AA21" i="1"/>
  <c r="AB20" i="1"/>
  <c r="AA20" i="1"/>
  <c r="AB19" i="1"/>
  <c r="AA19" i="1"/>
  <c r="AB18" i="1"/>
  <c r="AA18" i="1"/>
  <c r="AB15" i="1"/>
  <c r="AA15" i="1"/>
  <c r="AB14" i="1"/>
  <c r="AA14" i="1"/>
  <c r="AB13" i="1"/>
  <c r="AA13" i="1"/>
  <c r="AB12" i="1"/>
  <c r="AA12" i="1"/>
  <c r="AB11" i="1"/>
  <c r="AA11" i="1"/>
  <c r="AB10" i="1"/>
  <c r="AA10" i="1"/>
  <c r="AB9" i="1"/>
  <c r="AA9" i="1"/>
  <c r="AB8" i="1"/>
  <c r="AA8" i="1"/>
  <c r="AB7" i="1"/>
  <c r="AB6" i="1"/>
  <c r="AA6" i="1"/>
  <c r="AB5" i="1"/>
  <c r="AA5" i="1"/>
  <c r="AB4" i="1"/>
  <c r="AA4" i="1"/>
  <c r="AB3" i="1"/>
  <c r="AA3" i="1"/>
</calcChain>
</file>

<file path=xl/sharedStrings.xml><?xml version="1.0" encoding="utf-8"?>
<sst xmlns="http://schemas.openxmlformats.org/spreadsheetml/2006/main" count="9711" uniqueCount="1477">
  <si>
    <t>ACCOUNT</t>
  </si>
  <si>
    <t>OWNER</t>
  </si>
  <si>
    <t>VALIDITY &amp; FREQUENCY</t>
  </si>
  <si>
    <t>OFR SURCHARGES VALIDITY</t>
  </si>
  <si>
    <t>UPDATES</t>
  </si>
  <si>
    <t>WWA CUSTOMER</t>
  </si>
  <si>
    <t>GLOBAL/REGIONAL ACCOUNT OWNER</t>
  </si>
  <si>
    <t>RFQ OWNER</t>
  </si>
  <si>
    <t>FREQUENCY
(FOB/PLC)</t>
  </si>
  <si>
    <t>FREQUENCY
(OFR)</t>
  </si>
  <si>
    <t>FREQUENCY
(OFR SURCHARGES)</t>
  </si>
  <si>
    <t xml:space="preserve">FOB/PLC VALIDITY EXPIRY DATE </t>
  </si>
  <si>
    <t>OFR VALIDITY EFFECTIVE DATE</t>
  </si>
  <si>
    <t xml:space="preserve">OFR VALIDITY EXPIRY DATE </t>
  </si>
  <si>
    <t>IMO2020
SURCHARGES</t>
  </si>
  <si>
    <t>GRI
SURCHARGES</t>
  </si>
  <si>
    <t>ETSS/FEMS
SURCHARGES</t>
  </si>
  <si>
    <t>ESF
SURCHARGES</t>
  </si>
  <si>
    <t>E-PSS
SURCHARGES</t>
  </si>
  <si>
    <t>LWS/PCS
SURCHARGES</t>
  </si>
  <si>
    <t>E-BAF
SURCHARGES</t>
  </si>
  <si>
    <t>WRS
SURCHARGES</t>
  </si>
  <si>
    <t>REMARKS</t>
  </si>
  <si>
    <t>FOB/PLC FOLLOW-UP</t>
  </si>
  <si>
    <t>OFR FOLLOW-UP</t>
  </si>
  <si>
    <t>A.HARTRODT</t>
  </si>
  <si>
    <t>Peter Andersen</t>
  </si>
  <si>
    <t>-</t>
  </si>
  <si>
    <t>AIT (RA)</t>
  </si>
  <si>
    <t>Sylvia Lathouwers</t>
  </si>
  <si>
    <t>Helen Li</t>
  </si>
  <si>
    <t>YEARLY</t>
  </si>
  <si>
    <t>BI-WEEKLY (ADVISORY)</t>
  </si>
  <si>
    <t>MONTHLY (MEMBERS)</t>
  </si>
  <si>
    <t>BI-WEEKLY (MEMBERS/ADVISORY)</t>
  </si>
  <si>
    <t>APL LOGISTICS</t>
  </si>
  <si>
    <t>Michelle Yu</t>
  </si>
  <si>
    <t>IRTASIA</t>
  </si>
  <si>
    <t>QUARTERLY</t>
  </si>
  <si>
    <t>BI-WEEKLY (MEMBERS)</t>
  </si>
  <si>
    <t>ARAMEX (RA)</t>
  </si>
  <si>
    <t>MONTHLY</t>
  </si>
  <si>
    <t>BARSAN (RA)</t>
  </si>
  <si>
    <t>Ryan Robert Howell</t>
  </si>
  <si>
    <t>EXCL. AS PER ADVISORY</t>
  </si>
  <si>
    <t>CARGO PARTNER</t>
  </si>
  <si>
    <t>Martin Schulz</t>
  </si>
  <si>
    <t>1st Half - Members involvement
2nd Half - As per Advisory</t>
  </si>
  <si>
    <t>CEVA</t>
  </si>
  <si>
    <t>Jakob Bluhme</t>
  </si>
  <si>
    <t>INCL. IN OFR</t>
  </si>
  <si>
    <t>CH ROBINSON</t>
  </si>
  <si>
    <t>Bruce Ericson</t>
  </si>
  <si>
    <t>6 MONTHS</t>
  </si>
  <si>
    <t>BI-WEEKLY</t>
  </si>
  <si>
    <t>CRANE WORLDWIDE</t>
  </si>
  <si>
    <t>Mette Karapetian</t>
  </si>
  <si>
    <t>DACHSER (EXCL. INTRA ASIA)</t>
  </si>
  <si>
    <t>DACHSER (AU/NZ)</t>
  </si>
  <si>
    <t>Jens Pottschul</t>
  </si>
  <si>
    <t>NA</t>
  </si>
  <si>
    <t>SAME AS OFR VALIDITY</t>
  </si>
  <si>
    <t>DACHSER INTRA ASIA</t>
  </si>
  <si>
    <t>DHL</t>
  </si>
  <si>
    <t>QUARTERLY (MEMBERS)</t>
  </si>
  <si>
    <t>DP WORLD</t>
  </si>
  <si>
    <t>Kevin Taylor</t>
  </si>
  <si>
    <t>EV CARGO (RA)</t>
  </si>
  <si>
    <t>EXPEDITORS</t>
  </si>
  <si>
    <t>FEDEXTRADE</t>
  </si>
  <si>
    <t>FIBS (RA)</t>
  </si>
  <si>
    <t>FIVE STAR (RA)</t>
  </si>
  <si>
    <t>FLEXPORT</t>
  </si>
  <si>
    <t>Chris Crowder</t>
  </si>
  <si>
    <t>GEBR. WEISS</t>
  </si>
  <si>
    <t>GEODIS</t>
  </si>
  <si>
    <t>HANKYU</t>
  </si>
  <si>
    <t>HELLMANN</t>
  </si>
  <si>
    <t>HELLMANN INTRA ASIA</t>
  </si>
  <si>
    <t>JAS OCEAN</t>
  </si>
  <si>
    <t>KLN</t>
  </si>
  <si>
    <t>KINTETSU</t>
  </si>
  <si>
    <t>KUEHNE &amp; NAGEL</t>
  </si>
  <si>
    <t>UNDER EDS</t>
  </si>
  <si>
    <t>LESCHACO</t>
  </si>
  <si>
    <t>LIGENTIA (RA)</t>
  </si>
  <si>
    <t>LOGISTEED (RA)</t>
  </si>
  <si>
    <t>LOGWIN</t>
  </si>
  <si>
    <t>MAERSK LOGISTICS GLOBAL</t>
  </si>
  <si>
    <t>Susanne Elsborg-Jensen</t>
  </si>
  <si>
    <t>MONDIALE VGL (RA)</t>
  </si>
  <si>
    <t>MORRISON EXPRESS (RA)</t>
  </si>
  <si>
    <t>Ronan Teoh</t>
  </si>
  <si>
    <t>NIPPON NX</t>
  </si>
  <si>
    <t>NNR</t>
  </si>
  <si>
    <t>BI-WEEKLY (GRDB)</t>
  </si>
  <si>
    <t>GRDB</t>
  </si>
  <si>
    <t>NOATUM</t>
  </si>
  <si>
    <t>NTG AIR &amp; OCEAN</t>
  </si>
  <si>
    <t>OIA</t>
  </si>
  <si>
    <t>QUARTERLY (AS PER ADVISORY)</t>
  </si>
  <si>
    <t>PSA BDP</t>
  </si>
  <si>
    <t>RHENUS</t>
  </si>
  <si>
    <t>RIM LOGISTICS</t>
  </si>
  <si>
    <t>ROHLIG</t>
  </si>
  <si>
    <t>SCAN GLOBAL LOGISTICS</t>
  </si>
  <si>
    <t>SCAN-SHIPPING (RA)</t>
  </si>
  <si>
    <t>SEKO</t>
  </si>
  <si>
    <t>9 MONTHS</t>
  </si>
  <si>
    <t>TOLL GLOBAL FORWARDING</t>
  </si>
  <si>
    <t>YUSEN INTRA ASIA</t>
  </si>
  <si>
    <t>YUSEN (USA) IMP/EXP</t>
  </si>
  <si>
    <t>YUSEN EUROPE</t>
  </si>
  <si>
    <t>Nadine Beer</t>
  </si>
  <si>
    <t>YUSEN LATAM (IMPORT)</t>
  </si>
  <si>
    <t>SURCHARGES UPDATE OVERVIEW</t>
  </si>
  <si>
    <t>CONDITIONAL CHARGES AVAILABLE IN RATE CARD</t>
  </si>
  <si>
    <t>GENERAL</t>
  </si>
  <si>
    <t>SOLAS
SURCHARGES</t>
  </si>
  <si>
    <t>FILING
SURCHARGES</t>
  </si>
  <si>
    <t>MANDATORY ICS2 ADMIN FEE</t>
  </si>
  <si>
    <t>CONDITIONAL ICS2 FILING FEE</t>
  </si>
  <si>
    <t>HAZ
SURCHARGES</t>
  </si>
  <si>
    <t>3RD PARTY
SURCHARGES</t>
  </si>
  <si>
    <t>NON-STACKABLE
SURCHARGES</t>
  </si>
  <si>
    <t>STORAGE CHARGES</t>
  </si>
  <si>
    <t>BMSB SURCHARGES</t>
  </si>
  <si>
    <t>NEGATIVE RATES ACCEPTED (Y/N)</t>
  </si>
  <si>
    <t>APPROVAL NEEDED FOR OFF CYCLE UPDATE</t>
  </si>
  <si>
    <t>SUBMISSION BEFORE EFFECTIVE DATE</t>
  </si>
  <si>
    <t>(NON) CENTRALIZED</t>
  </si>
  <si>
    <t>OWNER COMMENTS (IF ANY)</t>
  </si>
  <si>
    <t>SEPARATE</t>
  </si>
  <si>
    <t>SEPARATELY</t>
  </si>
  <si>
    <t>Y</t>
  </si>
  <si>
    <t>N</t>
  </si>
  <si>
    <t>Regional account</t>
  </si>
  <si>
    <t>INCL. IN DOC FEE</t>
  </si>
  <si>
    <t>On an exceptional basis Rate Reductions can be made. But need to inform APLL and get their approval first. Also in general this should happen mainly through the adjustment of the surcharges.</t>
  </si>
  <si>
    <t>EXCL. (AS PER AGREEMENT)</t>
  </si>
  <si>
    <t>INCL IN OFR</t>
  </si>
  <si>
    <t>INCL. IN FILING FEE</t>
  </si>
  <si>
    <t>SEPARATE: APPENDIX</t>
  </si>
  <si>
    <t>SEPARATE: AS PER GA</t>
  </si>
  <si>
    <t>VALIDITIES</t>
  </si>
  <si>
    <t>SURCHARGES</t>
  </si>
  <si>
    <t>CONDITIONAL CHARGES</t>
  </si>
  <si>
    <t>MONTH</t>
  </si>
  <si>
    <t>REQUEST RECEIVED DATE</t>
  </si>
  <si>
    <t>SUBMISSION DATE</t>
  </si>
  <si>
    <t>RELEASED DATE</t>
  </si>
  <si>
    <t>NAMED ACCOUNT</t>
  </si>
  <si>
    <t>FOB VALIDITY EFFECTIVE DATE</t>
  </si>
  <si>
    <t xml:space="preserve">PLC VALIDITY EXPIRY DATE </t>
  </si>
  <si>
    <t>SOLAS</t>
  </si>
  <si>
    <t>FILING</t>
  </si>
  <si>
    <t>IMO2020</t>
  </si>
  <si>
    <t>GRI</t>
  </si>
  <si>
    <t>ESF</t>
  </si>
  <si>
    <t>E-PSS</t>
  </si>
  <si>
    <t>LWS/PCS</t>
  </si>
  <si>
    <t>ETSS/FEMS</t>
  </si>
  <si>
    <t>HAZ</t>
  </si>
  <si>
    <t>3RD PARTY</t>
  </si>
  <si>
    <t>NON-STACKABLE</t>
  </si>
  <si>
    <t>R1 HANDLED UNDER SWIFT (Y/N)</t>
  </si>
  <si>
    <t>SWIFT NOT HANDLED REASON</t>
  </si>
  <si>
    <t>MADE INTO ROUND 2</t>
  </si>
  <si>
    <t>DELAYED HANDLING (Y/N)</t>
  </si>
  <si>
    <t>DELAYED REASON</t>
  </si>
  <si>
    <t>CANCELLED (Y/N)</t>
  </si>
  <si>
    <t>CANCELLED REASON</t>
  </si>
  <si>
    <t>FOB/PLC FOLLOW-UP IN DAYS</t>
  </si>
  <si>
    <t>OFR FOLLOW-UP IN DAYS</t>
  </si>
  <si>
    <t>TOTAL UPDATES</t>
  </si>
  <si>
    <t>DYSON</t>
  </si>
  <si>
    <t>MARIA GIRLIE/ MICHELLE YU</t>
  </si>
  <si>
    <t>Criteria as per POC SOP not met</t>
  </si>
  <si>
    <t>KONECRANES</t>
  </si>
  <si>
    <t>NADINE BEER</t>
  </si>
  <si>
    <t>REGAL REXNORD</t>
  </si>
  <si>
    <t>HELEN LI</t>
  </si>
  <si>
    <t>HIGHLY MARELLI</t>
  </si>
  <si>
    <t>DOREEN LAM</t>
  </si>
  <si>
    <t>HARMAN</t>
  </si>
  <si>
    <t>YUSEN</t>
  </si>
  <si>
    <t>FAST RETAILING</t>
  </si>
  <si>
    <t>MARIA GIRLIE</t>
  </si>
  <si>
    <t xml:space="preserve">STELLANTIS </t>
  </si>
  <si>
    <t>MARIA GIRLIE/YI WEI PAK</t>
  </si>
  <si>
    <t>MORRISON EXPRESS</t>
  </si>
  <si>
    <t>ANSELL</t>
  </si>
  <si>
    <t>RONAN TEOH</t>
  </si>
  <si>
    <t>EATON</t>
  </si>
  <si>
    <t>KOHLER</t>
  </si>
  <si>
    <t>MARIA GIRLIE/ DOREEN LAM</t>
  </si>
  <si>
    <t>GIVAUDAN</t>
  </si>
  <si>
    <t>Queries were raised by the team, but the response from the owner was received late</t>
  </si>
  <si>
    <t>CHEMICAL ACCOUNT</t>
  </si>
  <si>
    <t>GROHE</t>
  </si>
  <si>
    <t>DOREEN LAM/MARIA GIRLIE</t>
  </si>
  <si>
    <t>Maintenance / update rates</t>
  </si>
  <si>
    <t>HONEYWELL</t>
  </si>
  <si>
    <t>MARIA GIRLIE/ YI WEI</t>
  </si>
  <si>
    <t>PIP SAFETY</t>
  </si>
  <si>
    <t>SEEK ZOU GAN</t>
  </si>
  <si>
    <t>All AU/NZ port pairs</t>
  </si>
  <si>
    <t>NIPPON</t>
  </si>
  <si>
    <t>MUJI</t>
  </si>
  <si>
    <t>MINTH</t>
  </si>
  <si>
    <t>MARIA GIRLIE/ SEEK ZOU GAN</t>
  </si>
  <si>
    <t>TETRA PACK GROUP</t>
  </si>
  <si>
    <t>SUSANNE ELSBORG-JENSEN</t>
  </si>
  <si>
    <t>BEELINE</t>
  </si>
  <si>
    <t>DENNIS FRANKOWSKI</t>
  </si>
  <si>
    <t>F&amp;F</t>
  </si>
  <si>
    <t>SANTIAGO MILIAN</t>
  </si>
  <si>
    <t>AALBERTS BUILDING</t>
  </si>
  <si>
    <t>YI WEI / MARIA GIRLIE</t>
  </si>
  <si>
    <t>IFF</t>
  </si>
  <si>
    <t>GENERAL ELECTRIC - GSA</t>
  </si>
  <si>
    <t>JOHNSON ELECTRIC</t>
  </si>
  <si>
    <t>SEEK ZOU / MARIA GIRLIE</t>
  </si>
  <si>
    <t>SCHNEIDER</t>
  </si>
  <si>
    <t>NEW BALANCE</t>
  </si>
  <si>
    <t>MARIA GIRLIEL</t>
  </si>
  <si>
    <t>DACHSER</t>
  </si>
  <si>
    <t>LIEBHERR</t>
  </si>
  <si>
    <t>NVENT</t>
  </si>
  <si>
    <t>DSV</t>
  </si>
  <si>
    <t>DOW</t>
  </si>
  <si>
    <t>BOHLER</t>
  </si>
  <si>
    <t>Released as per schedule</t>
  </si>
  <si>
    <t>MAHLE</t>
  </si>
  <si>
    <t>JAS</t>
  </si>
  <si>
    <t>HEUBACH</t>
  </si>
  <si>
    <t>DIEBOLD NIXDORF</t>
  </si>
  <si>
    <t>BLUE OWL</t>
  </si>
  <si>
    <t>BAYER COVESTRO LANXESS</t>
  </si>
  <si>
    <t>KNORR BREMSE</t>
  </si>
  <si>
    <t>BOSCH</t>
  </si>
  <si>
    <t>VALMET</t>
  </si>
  <si>
    <t>ON RUNNING</t>
  </si>
  <si>
    <t>DELTA GROUP</t>
  </si>
  <si>
    <t>ID</t>
  </si>
  <si>
    <t>YEAR</t>
  </si>
  <si>
    <t>HANDLED BY WRC / REGIONAL</t>
  </si>
  <si>
    <t>HISTORICAL</t>
  </si>
  <si>
    <t>CSRFQ SUBMISSION DATE TO OWNER</t>
  </si>
  <si>
    <t>BOOKING REF. (WHEN AWARDED)</t>
  </si>
  <si>
    <t>AWARD STATUS</t>
  </si>
  <si>
    <t>PRIME / MAINTENANCE</t>
  </si>
  <si>
    <t>When NOT Awarded or NOT Met Target list reason why:</t>
  </si>
  <si>
    <t>VOLUME QUOTED IN CBM</t>
  </si>
  <si>
    <t>NR. OF LANES QUOTED</t>
  </si>
  <si>
    <t>VOLUME QUOTED IN CBM PER LANE</t>
  </si>
  <si>
    <t>AWARDED VOLUME</t>
  </si>
  <si>
    <t>Volume Commitment p/Month</t>
  </si>
  <si>
    <t>Actual Volume received till 31st of December 2025</t>
  </si>
  <si>
    <t>Actual Volume received till 28th of February 2026</t>
  </si>
  <si>
    <t>ADDITIONAL COMMENTS</t>
  </si>
  <si>
    <t>WRC</t>
  </si>
  <si>
    <t>ZF</t>
  </si>
  <si>
    <t>Updated/ renewed 2025</t>
  </si>
  <si>
    <t>AWARDED</t>
  </si>
  <si>
    <t>Not provided</t>
  </si>
  <si>
    <t>SM 17 JAN 2025: STILL PENDING NEXT ROUND (Submitted Round 2 Pricing for Crane WW Review 11/11/24)</t>
  </si>
  <si>
    <t>NOT AWARDED</t>
  </si>
  <si>
    <t>No Feedback provided by customer</t>
  </si>
  <si>
    <t>NEW quote 2025</t>
  </si>
  <si>
    <t>21 NOV. STILL PENDING AWARD YET NAC VOLUMES REPORTED?  HL 6 Nov 2024: STILL PENDING</t>
  </si>
  <si>
    <t>SOLENIS</t>
  </si>
  <si>
    <t>Nadine (17-Dec-2025): Extended rate from till 31-Dec-2025 to 31-Jan-2026  Replaced by NAC Chemical Account 2026
quoted 1230450 kgs</t>
  </si>
  <si>
    <t>COTY</t>
  </si>
  <si>
    <t>MAGNA</t>
  </si>
  <si>
    <t>New quote 2025</t>
  </si>
  <si>
    <t>VALEO</t>
  </si>
  <si>
    <t>AWARDED/EXPIRED</t>
  </si>
  <si>
    <t>Awarded 13 lanes// Round 1 was released with FAK without member involvement</t>
  </si>
  <si>
    <t>22 Apr 2025: Updated to Not Awarded as effective date &gt; 3 months</t>
  </si>
  <si>
    <t>Not Provided by Customer</t>
  </si>
  <si>
    <t>Requoted Q3-2025, Awarded 156 lanes</t>
  </si>
  <si>
    <t>LIXIL</t>
  </si>
  <si>
    <t>Lixil 2025</t>
  </si>
  <si>
    <t>RENEWED eff 31st March 2025 to 31st December 2025</t>
  </si>
  <si>
    <t>Validity already passed</t>
  </si>
  <si>
    <t>AT&amp;S</t>
  </si>
  <si>
    <t>Extended till end Dec 2025, 2 Lanes Awarded ex KR/TW to SHA</t>
  </si>
  <si>
    <t>STANLEY BLACK &amp; DECKER</t>
  </si>
  <si>
    <t>SBD</t>
  </si>
  <si>
    <t>TOLL GROUP</t>
  </si>
  <si>
    <t>WILO</t>
  </si>
  <si>
    <t>EVONIK</t>
  </si>
  <si>
    <t>VOLVO</t>
  </si>
  <si>
    <t>VOLVO-WWA</t>
  </si>
  <si>
    <t xml:space="preserve">26 Nov 25 - Award sent out for remaining Q4 - awaiting Q1 2026 details for processing. 29 Oct 25 SEJ: Pending feedback from round 1 - reminder sent to Geodis to inquire if further extention may be required into 1st week of November - 29 Sept SEJ: Q3 rates extended to Oct 31st - awaiting Geodis feedback on portpairs/volume etc should be in hand first week October 07 July : SEJ - Volvo addl lanes presented awaiting award on these expected next week 22 APR:  265 lanes primary award (1550 cbm /qrtr) / 78 lanes secondary award  (626 cbm/qrtr) SEJ 26.02.25 Geodis will advise soonest on new template and new T&amp;C's from VOLVO. Geodis has been awarded biz for new term 1 april 25 to 31st March 2026 - now just needs WWA update based on new details SEJ FUP week 11. 03.27.25 review/negotiations on Q2 levels </t>
  </si>
  <si>
    <t>REGIONAL</t>
  </si>
  <si>
    <t>GE GSA</t>
  </si>
  <si>
    <t xml:space="preserve"> </t>
  </si>
  <si>
    <t>TJX</t>
  </si>
  <si>
    <t>WWA APL NAC TJX RFQ 2025</t>
  </si>
  <si>
    <t>Not Provided by Customer, no regular cargo flow.</t>
  </si>
  <si>
    <t>14apr: Customer cannot give exact expected volume as this is the nature of their customer. All depends on how martket develops.
Customer accepted new 2025 rates and clear instruction was given to APLL and members to make sure Booking ref is mentioned at time of booking to avoid stat issues.</t>
  </si>
  <si>
    <t>HUSQVARNA</t>
  </si>
  <si>
    <t xml:space="preserve">3 Dec, Q1-2026 now in process, 1 Dec 25 awaiting details for Q1-2026 processing, Oct 9th Q4 award - 29 sept SEJ - pending Q4 round 2 finalization -  May require extention of rates until finalized 1st week of October 07 July SEJ: addl lane award BRSSZ-CRSJO Geodis Husqvarna is active. We only filed TPEB so far as pending input from Geodis on the rest. </t>
  </si>
  <si>
    <t>WURTH</t>
  </si>
  <si>
    <t>LCL rates not competitive</t>
  </si>
  <si>
    <t>Quoted in 2025</t>
  </si>
  <si>
    <t>Rate is eff: 1st of Jan 2025 and requoted for Q2-2025</t>
  </si>
  <si>
    <t>ATLAS COPCO</t>
  </si>
  <si>
    <t>volume quoted was adjusted by Gil dd 28 Mar from 800000 to 800 cbm</t>
  </si>
  <si>
    <t>Extended 2024 rate till 31st of Mar 2025</t>
  </si>
  <si>
    <t>HBI</t>
  </si>
  <si>
    <t>HBI2024</t>
  </si>
  <si>
    <t>Extended 2024 rate till 30th of Jun 2025</t>
  </si>
  <si>
    <t>HEAD</t>
  </si>
  <si>
    <t>HEAD2024</t>
  </si>
  <si>
    <t>METSO</t>
  </si>
  <si>
    <t>OMRON</t>
  </si>
  <si>
    <t>OMROM</t>
  </si>
  <si>
    <t>OXFORD</t>
  </si>
  <si>
    <t>SIGNIFY</t>
  </si>
  <si>
    <t>Extended 2024 rate till 30th of Sep 2025  As per Q3 handled regionally</t>
  </si>
  <si>
    <t>TRIUMPH</t>
  </si>
  <si>
    <t>JAS MANNHEIM</t>
  </si>
  <si>
    <t>Requoted Q2/Q3-2025, Extended rate till 31st of Mar 2025</t>
  </si>
  <si>
    <t>TANATEX</t>
  </si>
  <si>
    <t>Quoted in 2024</t>
  </si>
  <si>
    <t>15 Dec. NB: Rate for Tanatex will expire 31 Dec. 2025.   Requoted Q2-2025, Extended rate till 31st of Mar 2025</t>
  </si>
  <si>
    <t>BAYER COVESTRO</t>
  </si>
  <si>
    <t>Santiago (15-Sep-2025): Volume already in place for the this NAC</t>
  </si>
  <si>
    <t>CUMMINS</t>
  </si>
  <si>
    <t>Rates high, 45% difference on average</t>
  </si>
  <si>
    <t>SEB</t>
  </si>
  <si>
    <t xml:space="preserve">Geodis advised they received award for FCL biz only with no LCL volume. </t>
  </si>
  <si>
    <t> </t>
  </si>
  <si>
    <t xml:space="preserve">SEJ 02.03.25 - NO AWARD. Geodis did not get LCL volumes this time however may have opportunity for spot biz which will be based on global tariff and local spot handling. 
without member involvement </t>
  </si>
  <si>
    <t>ALLNEX</t>
  </si>
  <si>
    <t>awared for DE only . NB 26 Jan. Rates been extended till end of January 2026. Replaced by NAC Chemical Account 2026</t>
  </si>
  <si>
    <t>TE CONNECTIVITY</t>
  </si>
  <si>
    <t>Customer is not awarded</t>
  </si>
  <si>
    <t>95571 Tons / 3 months. Correction SC dd 26 March, volume quoted 15325 cbm.</t>
  </si>
  <si>
    <t>Client now wants to issue a new RFQ later on in the year. No longer an active RFQ</t>
  </si>
  <si>
    <t>POC, without member involvement; H1-2025 was not awarded (Client now wants to issue a new RFQ later on in the year. No longer an active RFQ).</t>
  </si>
  <si>
    <t>MEDTRONIC</t>
  </si>
  <si>
    <t>Extended rate till 30th of June 2025</t>
  </si>
  <si>
    <t>FAST RETAILING  </t>
  </si>
  <si>
    <t>6 LANES AWARDED</t>
  </si>
  <si>
    <t>TELTONIKA</t>
  </si>
  <si>
    <t>customer decided not to move forward with the TDK NAC at this time</t>
  </si>
  <si>
    <t>ELECTROLUX</t>
  </si>
  <si>
    <t>GKN</t>
  </si>
  <si>
    <t>Requoted Q2-2025 rate</t>
  </si>
  <si>
    <t>DISNEY</t>
  </si>
  <si>
    <t>No feedback from owner</t>
  </si>
  <si>
    <t>24 JUN 2024: Updated as Not Awarded due to effective date passed 3 months.
YUSEN advised - we just submitted round 2 for both tenders, the turnaround time was pretty short, about a week for Flex and slightly less for Disney. If/when we hear back, we’ll let you know. // HL 03MAY2025 Update - For Flexport, there’s several divisions that have separate tenders that run more or less concurrently. Right now, they are focusing on 1 that’s FCL centered. The one we worked on has taken a back seat to that bid and they will address once the FCL bid is settled.</t>
  </si>
  <si>
    <t>WATSON</t>
  </si>
  <si>
    <t>17 MAY 2025: Updated as Not Awarded due to effective date passed 3 months. / SC (8-Apr-2025): Pending feedback from customer / POC, without member involvement</t>
  </si>
  <si>
    <t>AGCO</t>
  </si>
  <si>
    <t>Round 2 (30-JAN-2025): With member involvement // Round 1 (6-JAN-2025): POC without member involvement // OIA Awarded 400 CBM on the NAC.</t>
  </si>
  <si>
    <t>QVC</t>
  </si>
  <si>
    <t xml:space="preserve">17 MAY 2025: Updated as Not Awarded due to effective date passed 3 months. / Geodis Disney just went into Round2 internally </t>
  </si>
  <si>
    <t>IDS</t>
  </si>
  <si>
    <t>19 JUL 2025: Updated as Not Awarded due to effective date passed 3 months // As of 4th July, no feedback frm customer yet</t>
  </si>
  <si>
    <t>GETINGE</t>
  </si>
  <si>
    <t>4 December - Geodis advises this NAC will expire and transfer to FAK tariff 1 Dec 25 awaiting details for Q1-2026 processing 29 sept SEJ - pending Q4 round 2 finalization and award -  May require extention of rates until finalized 1st week of October  -SEJ 02.03.25: will receive feedback around FEb 7th 25 for second round processing / SEJ 26.25.25 Geodis advised that they have processed round 2 in which they will receive feedback on by week 10 (first week of March) Existing biz for Geodis and looks positive for WWA to gain business as WWA is 1st choice from Geodis on this business - soft close positive. 03.27.25 in negotiations SEJ: 8 APRIL - WWA Awarded Backup status on  24 Lanes - total volume approx 1300 cbm/yearly. NAC, validity 6 months equivalent to 650 cbm for these lanes with potential to locally develop. Anticipate 1/3 volume during these 6 months as Backup carrier - Monthly review on volumes will take place</t>
  </si>
  <si>
    <t>RALPH LAUREN</t>
  </si>
  <si>
    <t xml:space="preserve">17 MAY 2025: Updated as Not Awarded due to effective date passed 3 months.  / SEJ 02.03.25: will receive feedback around FEb 14th 25 for second round processing </t>
  </si>
  <si>
    <t>GENERAL MOTORS</t>
  </si>
  <si>
    <t>Not provided by owner</t>
  </si>
  <si>
    <t>BRAUN</t>
  </si>
  <si>
    <t>POC, without member involvement</t>
  </si>
  <si>
    <t>FLEXTRONICS</t>
  </si>
  <si>
    <t>17 MAY 2025: Updated as Not Awarded due to effective date passed 3 months./ last follow up with custmer 19 Feb -  as per customer, no feedback yet</t>
  </si>
  <si>
    <t>8 April - follow up with customer. pending feedback.</t>
  </si>
  <si>
    <t>BOEHLER</t>
  </si>
  <si>
    <t>16075 tons quoted</t>
  </si>
  <si>
    <t>FR. MEYERS &amp; SOHN (FMS)</t>
  </si>
  <si>
    <t>REHAU</t>
  </si>
  <si>
    <t>Reason unknown, status still pending after effective date passed.</t>
  </si>
  <si>
    <t>HITACHI</t>
  </si>
  <si>
    <t xml:space="preserve">17 MAY 2025: Updated as Not Awarded due to effective date passed 3 months. / SEJ 26.02.25 Geodis in round 2 Hitatchi only accepting 1 all in rate CFS/CFS reveiwing with Geodis further. LOCAL NAC seems only LOCAL for 2024 SEJ investigating </t>
  </si>
  <si>
    <t>FRACHT FWO</t>
  </si>
  <si>
    <t>COCA COLA</t>
  </si>
  <si>
    <t xml:space="preserve">FRACHT Advised "We submitted R2 on Friday and we are pending feedback. I will keep you updated".  // 29MAY2025 HL - We just submitted door rates for the Round 2 lanes to Fracht. // 01JUL2025 We were advise today that we were awarded the NAC.  </t>
  </si>
  <si>
    <t>TDK</t>
  </si>
  <si>
    <t>AVERY DENNISON</t>
  </si>
  <si>
    <t>29 SEP 2025: POC 2.0 Exclusive, without member involvement
17 MAY 2025: Updated as Not Awarded due to effective date passed 3 months. / (MG) 9 APRIL 2025, as per customer, no feedback from their client yet. POC, without member involvement</t>
  </si>
  <si>
    <t>Flex uses “Flex payor site” as a package to compare the competitiveness (not by lanes).</t>
  </si>
  <si>
    <t>ASOS</t>
  </si>
  <si>
    <t>24 JUN 2024: Updated as Not Awarded due to effective date passed 3 months.
POC, without member involvement, last follow up with Customer 24 Feb, as per customer, still pending</t>
  </si>
  <si>
    <t>K &amp; N</t>
  </si>
  <si>
    <t>GSA</t>
  </si>
  <si>
    <t>Awarded 32 lanes/Backup 20 lanes</t>
  </si>
  <si>
    <t>DSM FIRMENICH</t>
  </si>
  <si>
    <t>Validty passed. last follow up with custmer 7 march -  no feedback from customer as of 8 April</t>
  </si>
  <si>
    <t>CARGILL</t>
  </si>
  <si>
    <t>Leschaco is only back up for few lanes, no volumes to be expected, new updat per September</t>
  </si>
  <si>
    <t>Award should follow start of April 2025</t>
  </si>
  <si>
    <t>quoted 236937 kgs</t>
  </si>
  <si>
    <t>LENOVO</t>
  </si>
  <si>
    <t xml:space="preserve">Lost out on rate to Expeditors &amp; KAN. </t>
  </si>
  <si>
    <t>SEG</t>
  </si>
  <si>
    <t xml:space="preserve">Lost and not awarded, purely rate based. </t>
  </si>
  <si>
    <t>TENNECO</t>
  </si>
  <si>
    <t>19 JUL 2025: Updated as Not Awarded due to effective date passed 3 months// Tom (28-Apr-2025): Round 3 feedback pending right now.</t>
  </si>
  <si>
    <t>Applied same as Yusen NAC Disney rate</t>
  </si>
  <si>
    <t>UPS</t>
  </si>
  <si>
    <t>17 MAY 2025: Updated as Not Awarded due to effective date passed 3 months. 
4-8-2025 RMS  Email to UPS to ask for status.  Pending 
replicate rates from Yusen yet further complete NS lanes and add OFR Haz</t>
  </si>
  <si>
    <t>24 JUN 2024: Updated as Not Awarded due to effective date passed 3 months.
YUSEN advised - we just submitted round 2 for both tenders, the turnaround time was pretty short, about a week for Flex and slightly less for Disney. If/when we hear back, we’ll let you know. // HL 03MAY2025 Update - For Disney, our colleague in Miami was spearheading and we actually received a similar email today asking for a status update. I reached out to him on the side and asked him to comment and I’m awaiting his feedback.</t>
  </si>
  <si>
    <t>AIT</t>
  </si>
  <si>
    <t>DELL</t>
  </si>
  <si>
    <t>17 MAY 2025: Updated as Not Awarded due to effective date passed 3 months. / POC, without member involvement</t>
  </si>
  <si>
    <t>AMAZON WEB SERVICES</t>
  </si>
  <si>
    <t>GEA</t>
  </si>
  <si>
    <t>18 NOV 2025: Updated as Not Awarded due to effective date passed 3 months
HL 30SEP2025 - Customer advise pending awarded
R2, without member involvement handled by STi/SM
Round 1 (19-SEP-2025): POC 2.0 Exclusive, without member involvement handled by WRC
24 JUN 2024: Updated as Not Awarded due to effective date passed 3 months. POC, without member involvement for valid 21 Feb to 31 Jul 2025</t>
  </si>
  <si>
    <t>AUTOLIV</t>
  </si>
  <si>
    <t>19 JUL 2025: Updated as Not Awarded due to effective date passed 3 months// 2024 Volume were for ex Latam to Eu</t>
  </si>
  <si>
    <t>15 Dec. 2025 NB: Rates been extended till 31st of January, 2026.  Unfortunately Beeline only nominated Logwin as back up this time.</t>
  </si>
  <si>
    <t>SCHOEFFEL</t>
  </si>
  <si>
    <t>ROUND 2 (18-MAR-2025) - With member involvement // ROUND 1 (17-FEB-2025) - POC, without member involvement // HL advised 28APR2025 NAC just made it to Round 2</t>
  </si>
  <si>
    <t>APTIV</t>
  </si>
  <si>
    <t xml:space="preserve">7/27/2025 They did not win LCL, only FCL from the customer </t>
  </si>
  <si>
    <t>24 JUN 2024: Updated as Not Awarded due to effective date passed 3 months.
KT 4/8/2025 Customer still pending results // 09JUN2025 OIA advised NAC is STILL Pending Result.</t>
  </si>
  <si>
    <t>SM(17-Mar-2025):No Feedback provided by customer</t>
  </si>
  <si>
    <t>WRC handled Q2-2025</t>
  </si>
  <si>
    <t>LVMH</t>
  </si>
  <si>
    <t>Awarded 86 lanes/ Backup 182 lanes</t>
  </si>
  <si>
    <t>SIEMENS</t>
  </si>
  <si>
    <t>Not competitive enough</t>
  </si>
  <si>
    <t>SABIC</t>
  </si>
  <si>
    <t>Not awarded: Not provided by the customer</t>
  </si>
  <si>
    <t>ADTRAN</t>
  </si>
  <si>
    <t>FEDEX</t>
  </si>
  <si>
    <t>AWAY</t>
  </si>
  <si>
    <t>DJI</t>
  </si>
  <si>
    <t xml:space="preserve">Geodis only won 370 cbm for this RFQ - NO NAC filing required. </t>
  </si>
  <si>
    <t xml:space="preserve">SEJ 05.05.2025: Geodis won only 370 cbm / Australia import from various origins / no NAC filing - will be referred to Geodis Global Tariff. Email sent to members with update &amp; working with Geodis to obtain volume based on Global tariff rates. </t>
  </si>
  <si>
    <t>22 April, re offer rates. ; 07 MAY AWARD STATUS FROM ROSY</t>
  </si>
  <si>
    <t>AVK</t>
  </si>
  <si>
    <t>19 JUL 2025: Updated as Not Awarded due to effective date passed 3 months // POC, without member involvement</t>
  </si>
  <si>
    <t>STORKCRAFT</t>
  </si>
  <si>
    <t>Submitted NAC after deadline</t>
  </si>
  <si>
    <t>IMPLUS</t>
  </si>
  <si>
    <t>HL advised 28APR2025 NAC is Still pending results. // 29MAY2025 HL OIA is asking to meet target rates to win the business.</t>
  </si>
  <si>
    <t>19 JUL 2025: Updated as Not Awarded due to effective date passed 3 months // (MG), as of 4th July, no feedback frm customer yet. POC, without member involvement</t>
  </si>
  <si>
    <t>TDK 2025</t>
  </si>
  <si>
    <t>Awarded 21 lanes</t>
  </si>
  <si>
    <t>Applied same as Leschaco NAC Cargill rate</t>
  </si>
  <si>
    <t>19 JUL 2025: Updated as Not Awarded due to effective date passed 3 months // (MG) as of 4 July, still no feedback from their client yet. POC, without member involvement</t>
  </si>
  <si>
    <t>GEBRUDER WEISS</t>
  </si>
  <si>
    <t>DEUTZ</t>
  </si>
  <si>
    <t>HELLY-HANSEN</t>
  </si>
  <si>
    <t>5 AUG 2025: OIA has been awarded only as backup // 19 JUL 2025: Updated as Not Awarded due to effective date passed 3 months // POC, without member involvement // HL advised 28APR2025 NAC is Still pending results. // 09JUN2025 OIA advised NAC is STILL Pending Result.  // 01JUL2025 We were just awarded on the NAC.</t>
  </si>
  <si>
    <t>DELTA ELECTRONICS</t>
  </si>
  <si>
    <t>GARMIN</t>
  </si>
  <si>
    <t>WAI</t>
  </si>
  <si>
    <t>LEAR</t>
  </si>
  <si>
    <t>Unknown</t>
  </si>
  <si>
    <t>Q3-2025 round 2 (16-Jul-2025): With Member Involvement // Q3-2025 round 1 (8-Jul-2025): Handled under POC // Q2-2025: Primary 61 lanes and Secondary 152 lanes</t>
  </si>
  <si>
    <t>LEVIS</t>
  </si>
  <si>
    <t>Primary 12 lanes and Secondary 32 lanes</t>
  </si>
  <si>
    <t>SENSIENT</t>
  </si>
  <si>
    <t>HL 08OCT2025 - Not Awarded NNR advised rates from competitors were lower</t>
  </si>
  <si>
    <t>22 SEP 2025: Updated as Not Awarded due to effective date passed 3 months</t>
  </si>
  <si>
    <t>ZEBRA</t>
  </si>
  <si>
    <t>VLS carrying business via rate levels 10-15% lower on most lanes for Asia</t>
  </si>
  <si>
    <t>6-15-25 - Follow up confirmed VLS moving business. Shipco/WWA Rates 10-15 % higher, volume awarded to VLS most Asia</t>
  </si>
  <si>
    <t xml:space="preserve">7/28/2025 They did not win any business </t>
  </si>
  <si>
    <t>KT4/25/2025 Customer pending results // 09JUN2025, OIA advised NAC is STILL Pending Result.</t>
  </si>
  <si>
    <t>RESMED</t>
  </si>
  <si>
    <t>POC, without member involvement, as per customer, still waiting for their customer feedback</t>
  </si>
  <si>
    <t>TVH</t>
  </si>
  <si>
    <t>23 AUG 2025: Updated as Not Awarded due to effective date passed 3 months // Applied same rate as Savino Del Bene NAC TVH</t>
  </si>
  <si>
    <t>SAVINO DEL BENE</t>
  </si>
  <si>
    <t>23 AUG 2025: Updated as Not Awarded due to effective date passed 3 months // Applied same rate as Hartrodt NAC TVH</t>
  </si>
  <si>
    <t>AY MCDONALD/ VAL-MATIC</t>
  </si>
  <si>
    <t>Rates 10-15 % higher than competion winning business</t>
  </si>
  <si>
    <t>Per Carol Oconnor - Shipco came in higher than your competition and we went in won at the competitor rate levels.   Shipco is overall in the 10%-15% higher range.</t>
  </si>
  <si>
    <t>THERMO FISHER</t>
  </si>
  <si>
    <t>HL advised 28APR2025 NAC is Still pending results. // 09JUN2025, OIA advised NAC is STILL Pending Result // 30JUN2025 OIA awarded 10 lanes out of 57 lanes.</t>
  </si>
  <si>
    <t>BOLLORE LOGISTICS</t>
  </si>
  <si>
    <t>Extended till the end of 2025</t>
  </si>
  <si>
    <t xml:space="preserve">NVENT </t>
  </si>
  <si>
    <t>Awarded &amp; Back up lanes confirmed by customer</t>
  </si>
  <si>
    <t>EMOTRANS</t>
  </si>
  <si>
    <t>BIDVEST</t>
  </si>
  <si>
    <t>PANASONIC</t>
  </si>
  <si>
    <t>Still waiting status from Round 2 // Quote taken over by PRC as per owner decision</t>
  </si>
  <si>
    <t>Q3-2025 Round 2 (16-Jul-2025): With Member Involvement // Q3-2025 Round 1 (8-Jul-2025): Handled under POC // Extended Q2-2024 to Q2-2025</t>
  </si>
  <si>
    <t>VIBRACOUSTIC</t>
  </si>
  <si>
    <t>23 AUG 2025: Updated as Not Awarded due to effective date passed 3 months // POC, without member involvement</t>
  </si>
  <si>
    <t>MANUPORT LOGISTICS</t>
  </si>
  <si>
    <t>SWAROVSKI</t>
  </si>
  <si>
    <t>unknown</t>
  </si>
  <si>
    <t xml:space="preserve">06 Oct 2025: UPS has confirmed to expire this NAC
Sept 11, 2025 RMS - Extended NAC rates through to end of October.  UPS have FCL award and asked WWA to support LCL.    If no volumes by end of October 2025 will request from UPS to expire the rates. 
10 JUL 2025 - RMS - UPS advised still pending.    Nothing confirmed yet 
10 JUN 2025 - RMS - UPS advised round 2 is being submitted this week.   Main focus is FCL.   No LCL feedback yet. 
24 JUL 2025 - HL - UPS advised that they were awarded the business but based on the FCL volume.  UPS advised that any overflow will be moved under LCL.  UPS could not provide volume.   </t>
  </si>
  <si>
    <t>DSG (DICK'S SPORTING GOODS)</t>
  </si>
  <si>
    <t>Yusen decided to stay with the incumbent.</t>
  </si>
  <si>
    <t xml:space="preserve">Round 2 (13-JUN-2025) With member Involvement // Round 1 (5-MAY-2025) POC, without member involvement // 29May2025 - HL NAC went to Round 2 </t>
  </si>
  <si>
    <t>SIG CHINA</t>
  </si>
  <si>
    <t>22 SEP 2025: Updated as Not Awarded due to effective date passed 3 months//23 July, MG follow up, pending feedback//POC, without member involvement</t>
  </si>
  <si>
    <t>NOKIA</t>
  </si>
  <si>
    <t>Round 2 still waiting feedback</t>
  </si>
  <si>
    <t>SCHAEFFLER</t>
  </si>
  <si>
    <t>(MG) as of 4 July, still no feedback from their client yet. POC, without member involvement</t>
  </si>
  <si>
    <t>SAMSONITE</t>
  </si>
  <si>
    <t>Awarded 9 lanes</t>
  </si>
  <si>
    <t>HYSTER YALE</t>
  </si>
  <si>
    <t>Primary 13 lanes and backup 88 lanes</t>
  </si>
  <si>
    <t xml:space="preserve">FLEXTRONICS </t>
  </si>
  <si>
    <t>SKF</t>
  </si>
  <si>
    <t>Updated/ renewed 2024</t>
  </si>
  <si>
    <t>never received any feedback from the customer</t>
  </si>
  <si>
    <t>WURTH INTRA ASIA</t>
  </si>
  <si>
    <t>Rates are not competitive enough</t>
  </si>
  <si>
    <t>POC 2.0 Classic, without member involvement
Q3-2025 rate is not awarded (Rates are not competitive enough)</t>
  </si>
  <si>
    <t>VERTIV</t>
  </si>
  <si>
    <t>23 July, MG follow up, pending feedback//POC, without member involvement</t>
  </si>
  <si>
    <t>YAMAHA</t>
  </si>
  <si>
    <t>MG: as of 4 July, no feedback received from customer. POC, without member involvement</t>
  </si>
  <si>
    <t>HEAD SPORT</t>
  </si>
  <si>
    <t>MG: last follow up, 4th July, no feedback</t>
  </si>
  <si>
    <t>LOGITECH</t>
  </si>
  <si>
    <t>KLN was not shortlisted to Round 3 in Logitech Ocean bidding</t>
  </si>
  <si>
    <t>VOLEX</t>
  </si>
  <si>
    <t>LCL HCM TO SINGAPORE</t>
  </si>
  <si>
    <t>INEOS</t>
  </si>
  <si>
    <t>BASF</t>
  </si>
  <si>
    <t xml:space="preserve">BASF  </t>
  </si>
  <si>
    <t>rates too expensive</t>
  </si>
  <si>
    <t>TATE &amp; LYLE</t>
  </si>
  <si>
    <t>waiting for the reason, Logwin is checking with their customer</t>
  </si>
  <si>
    <t>RECKITT</t>
  </si>
  <si>
    <t xml:space="preserve">MG : 26 Aug 2025 // Checking feedback </t>
  </si>
  <si>
    <t>JASON INC.</t>
  </si>
  <si>
    <t>JASON INC</t>
  </si>
  <si>
    <t>Jan 13, 2026 - Per UPS NAC will not be extended.   Please remove 
August 12, 2025  RMS -First shipment moved week 32</t>
  </si>
  <si>
    <t>JABIL</t>
  </si>
  <si>
    <t>12 AUG 2025 - Starting to see first bookings 
10 JUL 2025 - RMS - Per UPS still pending but hopeful to win some lanes.   
9 JUN 2025 - RMS - per UPS second round started this week.   Pending customer feedback</t>
  </si>
  <si>
    <t>SHISEIDO</t>
  </si>
  <si>
    <t>Due to rate level offered</t>
  </si>
  <si>
    <t>Customer did not awarded us for Pricing level</t>
  </si>
  <si>
    <t>TAPESTRY</t>
  </si>
  <si>
    <t>Expecting to receive confirmation when we'll start to receive the first Bkgs// Only Intra Asia lanes</t>
  </si>
  <si>
    <t>Effective Nov 01st, 2025 until DEc 31st, 2026.</t>
  </si>
  <si>
    <t>3M</t>
  </si>
  <si>
    <t>4,735 cbm as Primary, 45,087 CBM as Back-up &amp; 2,462 CBM TBC</t>
  </si>
  <si>
    <t>CELESTICA</t>
  </si>
  <si>
    <t>SM 7 July: Volume: as Back-up 1681 cbm, as Primary 0 cbm.</t>
  </si>
  <si>
    <t>18 NOV 2025: Updated as Not Awarded due to effective date passed 3 months
POC, without member involvement</t>
  </si>
  <si>
    <t>KERING</t>
  </si>
  <si>
    <t>720 cbm as primary + TBA, while the rest 8400 cbm we are nominated as Back-up</t>
  </si>
  <si>
    <t>VERSUNI</t>
  </si>
  <si>
    <t>By pricing we were not nominated in any lane</t>
  </si>
  <si>
    <t>915 CBM as Primary &amp; 3800 CBM as Back-up
WRC handled Q3-2025 (Not awarded: By pricing we were not nominated in any lane)</t>
  </si>
  <si>
    <t>29/07: still pending customer's feedback. 03+10/09: updated overview sent to customer for checking, waiting for their feedback. 08/10:Nadine sent updated final and is still in discussion with customer to streamline last details.</t>
  </si>
  <si>
    <t>USI</t>
  </si>
  <si>
    <t>11-NOV-2025: POC 2.0 Classic, without member involvement
8-JUL-2025: POC, without member involvement (Not Awarded)</t>
  </si>
  <si>
    <t>18 NOV 2025: Updated as Not Awarded due to effective date passed 3 months</t>
  </si>
  <si>
    <t xml:space="preserve">RMS - No Feedback provided by UPS.   Several reminders </t>
  </si>
  <si>
    <t xml:space="preserve">18 NOV 2025: Updated as Not Awarded due to effective date passed 3 months
Sep 11, 2025 RMS  - UPS pending further info on award
Aug 12, 2025 RMS   Waiting for UPS to confirm if biz was awarded or not. </t>
  </si>
  <si>
    <t>PEPSICO</t>
  </si>
  <si>
    <t>SM 17 July: Volume: 1,131 CBM (155 CBM as primary, 975 CBM as Back-up).</t>
  </si>
  <si>
    <t>no feedback from the customer at all, we will put this aside as not awarded</t>
  </si>
  <si>
    <t xml:space="preserve">REGIONAL </t>
  </si>
  <si>
    <t xml:space="preserve">rates not inline with geodis Targets. 90 % of cargo is heavyweight and tough to align in various markets with these targets for the heavy cargo. </t>
  </si>
  <si>
    <t xml:space="preserve">29 Sept SEJ: have asked Geodis if they require Q4 rates - no filing for Q3 as they never accepted rates due to WWA not being able to match levels due to heavy weight cargo. 11 july SEJ: sent FINAL NAC offer for Q3 to Geodis - pendign feedback next week </t>
  </si>
  <si>
    <t>NTG AIR AND OCEAN</t>
  </si>
  <si>
    <t>REGALREXNORD</t>
  </si>
  <si>
    <t>AKZO NOBEL</t>
  </si>
  <si>
    <t>08 Aug SEJ: SGL advises they have just received small award - but they now have a foot int he door. aprx. 2-300 TEU + 1000 cbm mainly ex. LATAM. SGL advised they will 18 july SEJ: final feedback pending from SGL - will advise first week of August (4000 CBM HAZMAT OF TOTAL VOLUME)</t>
  </si>
  <si>
    <t>PARKER</t>
  </si>
  <si>
    <t>Extended from 2024</t>
  </si>
  <si>
    <t xml:space="preserve">Nov 11, 2024  EU to US.   Majority of Parker volumes lost to Independent Container Line.   In preparation for ILA strike in Jan as ICL is not affected by strike.    Hope to get the EU to US volumes back after potential strike has cleared. </t>
  </si>
  <si>
    <t>There is a 2nd File with Additional Lanes with more volume expected to be awarded</t>
  </si>
  <si>
    <t>18 NOV 2025: Updated as Not Awarded due to effective date passed 3 months
HL 30SEP2025 - Customer advise pending next round
POC, without member involvement</t>
  </si>
  <si>
    <t>GM</t>
  </si>
  <si>
    <t>Confirmed by DSV/Schenker to be effective since AUG-01st</t>
  </si>
  <si>
    <t>TPI</t>
  </si>
  <si>
    <t>Feedback: Jae Hahn - Regional Tender Manager:  Pls consider this a missed opportunity or “cancelled”. We were advised TPI filed for bankruptcy end of Q3, so all the operations were suspended. We resumed our collaboration with them last month, but only on a spot basis and hardly any LCL.</t>
  </si>
  <si>
    <t>BIC</t>
  </si>
  <si>
    <t xml:space="preserve">10 December Geodis confirmed to EXPIRE this NAC as of Dec 31st - will be under Geodis regional control in 2026. 1 Dec 25, awaiting details for Q1-2026 processing - only 2 bookings rcvd for Oct / review with customer if incorrectly booked without NAC name reference. 29 sept SEJ - WWA awarded in FUll for all lanes </t>
  </si>
  <si>
    <t>PORSCHE</t>
  </si>
  <si>
    <t>18 NOV 2025: Updated as Not Awarded due to effective date passed 3 months  2 FEB 2026 request placed to re-quote for 2026, a selection of lanes
POC 2.0 Classic, without member involvement</t>
  </si>
  <si>
    <t>18 NOV 2025: Updated as Not Awarded due to effective date passed 3 months
HL 30SEP2025 - Customer confirmed no feedback received just yet and will keep us informed.</t>
  </si>
  <si>
    <t>Our offer was competitive but competitor exceed the expectations of BDP with more aggresive pricing across the board</t>
  </si>
  <si>
    <t>ZURN</t>
  </si>
  <si>
    <t>Not handled by WWA LCL Rate team</t>
  </si>
  <si>
    <t>Still nego with Rohlig</t>
  </si>
  <si>
    <t>SCHENKER</t>
  </si>
  <si>
    <t>TOYOTA TSUSHO</t>
  </si>
  <si>
    <t>TOYOTA</t>
  </si>
  <si>
    <t>3 DEC 2025: Awarded 6 lanes
MG, 23-Oct, As per KWE, no feedback from their customer yet
POC 2.0 Classic, without member involvement</t>
  </si>
  <si>
    <t>ex KRPUS &amp; SGSIN only</t>
  </si>
  <si>
    <t>KALMAR</t>
  </si>
  <si>
    <t>22 Jan 2026 : Updated as Not Awarded due to effective date passed 3 months.</t>
  </si>
  <si>
    <t>ROUND 2 (20-OCT-2025): With Member Involvement.
ROUND 1 (29-AUG-2025): POC 2.0 Classic, without member involvement</t>
  </si>
  <si>
    <t>NEW quote 2026</t>
  </si>
  <si>
    <t>GE-GSA</t>
  </si>
  <si>
    <t>HL 12MAR2026 - According to OIA this has been awarded</t>
  </si>
  <si>
    <t>Round 2 (14-OCT-2025): With Member Involvement.
Round 1 (4-SEP-2025): With Member Involvement.</t>
  </si>
  <si>
    <t>PENDING OUTCOME</t>
  </si>
  <si>
    <t>HL 3/2/2026 - FedEx General Electric updated. Still pending outcome but returned to us with request for lower pricing 12/30/2025</t>
  </si>
  <si>
    <t>CANON</t>
  </si>
  <si>
    <t>HL 27DEC2025 - Crane Advised that the FCL was awarded but LCL is still Pending</t>
  </si>
  <si>
    <t>Round 2 (14-OCT-2025): With Member Involvement.
Round 1 (8-SEP-2025): With Member Involvement.</t>
  </si>
  <si>
    <t>DEC 2025: Pending Status from CRANE</t>
  </si>
  <si>
    <t>Round 2 (10-OCT-2025): With Member Involvement.
Round 1 (19-SEP-2025): With Member Involvement.</t>
  </si>
  <si>
    <t>will be handled as FAK</t>
  </si>
  <si>
    <t>Only quoted HAZ charges (FOB/OFR/PLC as per JAS rate card)</t>
  </si>
  <si>
    <t>ICU</t>
  </si>
  <si>
    <t>Pricing not competitive enough</t>
  </si>
  <si>
    <t>NOT AWARDED BY PRICING NOT COMPETITIVE</t>
  </si>
  <si>
    <t>NEWELL</t>
  </si>
  <si>
    <t xml:space="preserve">Got a breadcrumb, assigned 3 lanes in order for us to become an approved vendor. 
a.	Lost on all lanes, and less than 10 percent of the lanes was within 10 %, 25 percent of the lanes were within 11 % - 49 % too high and the rest more than 50 % too high.  
</t>
  </si>
  <si>
    <t>ROUND 2 (22-OCT-2025): With Member Involvement.
ROUND 1 (24-SEP-2025): POC 2.0 Exclusive, without member involvement</t>
  </si>
  <si>
    <t>DEC 2025: Pending Status from CEVA</t>
  </si>
  <si>
    <t>Updated/ renewed 2026</t>
  </si>
  <si>
    <t>Round 2 (17 Nov 2025): Member Involvement
Round 1 (01 Oct 2025): Member Involvement</t>
  </si>
  <si>
    <t>CISCO SYSTEMS</t>
  </si>
  <si>
    <t>26NOV2025 HL - Customer advise pending final award. Decision should be released sometimes in December 2025</t>
  </si>
  <si>
    <t>KINGFISHER</t>
  </si>
  <si>
    <t>18 NOV 2025: Updated as Not Awarded due to effective date passed 3 months
POC 2.0 Classic, without member involvement</t>
  </si>
  <si>
    <t>Awarded</t>
  </si>
  <si>
    <t>ROUND 2 (27-OCT-2025): Member Involvement
ROUND 1 (1-OCT-2025): Member Involvement</t>
  </si>
  <si>
    <t>WL GORE</t>
  </si>
  <si>
    <t xml:space="preserve">26 Jan 2026 : Our offer was quite competitive on many lanes.  However, the difference was not enough to justify a change from their current service provider </t>
  </si>
  <si>
    <t>POC 2.0 Exclusive, without member involvement</t>
  </si>
  <si>
    <t>KONICA MINOLTA</t>
  </si>
  <si>
    <t>MG, 23-Oct,  no feedback from their KWE yet</t>
  </si>
  <si>
    <t>SCHUNK</t>
  </si>
  <si>
    <t>POC 2.0 Classic, without member involvement</t>
  </si>
  <si>
    <t>HENKEL</t>
  </si>
  <si>
    <t>Not competitive enough in Pricing</t>
  </si>
  <si>
    <t>DEC 2025: Pending Status from BDP</t>
  </si>
  <si>
    <t>DECATHLON</t>
  </si>
  <si>
    <t>KOMATSU</t>
  </si>
  <si>
    <t>Quoted in 2026</t>
  </si>
  <si>
    <t>ROUND 2 (14-NOV-2025): Member Involvement
ROUND 1 (29-OCT-2025): Member Involvement</t>
  </si>
  <si>
    <t>AMPHENOL</t>
  </si>
  <si>
    <t>MG follow up 2 Dec , pending follow up</t>
  </si>
  <si>
    <t>POC 2.0 Classic, without member involvement
MG Follow up 24 Nov, pending feedback from Geodis</t>
  </si>
  <si>
    <t>ROUND 2 (16-JAN-2026): MEMBER INVOLVEMENT
26NOV2025 HL - Customer advise till pending feedback</t>
  </si>
  <si>
    <t>JOYSON</t>
  </si>
  <si>
    <t>POC 2.0 Classic, without member involvement
MG follow up 24 Nov, as per CP, still pending feedback from customer</t>
  </si>
  <si>
    <t>LONGCHAMP</t>
  </si>
  <si>
    <t>DBI</t>
  </si>
  <si>
    <t>FOXCONN</t>
  </si>
  <si>
    <t>Unable to match the target</t>
  </si>
  <si>
    <t>BRADY</t>
  </si>
  <si>
    <t>HUNTER DOUGLAS</t>
  </si>
  <si>
    <t>Feb 26,2026 - -Per UPS, Hunter Douglas chose to use ECU.  NOT AWARDED</t>
  </si>
  <si>
    <t>MG 19 DEC. Pending for Bernice to advise status</t>
  </si>
  <si>
    <t>AVON</t>
  </si>
  <si>
    <t>January 2026:  Pending outcome from UPS 
DEC 2025: Pending Status from UPS</t>
  </si>
  <si>
    <t>MG follow up 290126, second follow up 250226</t>
  </si>
  <si>
    <t>MOMENTIVE</t>
  </si>
  <si>
    <t>MG : 19 DEC, follow up with Kerrne, pending for R2 feedback</t>
  </si>
  <si>
    <t>REPRESENT</t>
  </si>
  <si>
    <t>Customer did not secure the business</t>
  </si>
  <si>
    <t>EI still pending for result from their customer</t>
  </si>
  <si>
    <t>SINFUL</t>
  </si>
  <si>
    <t>rates were about 20%-35% too expensive</t>
  </si>
  <si>
    <t>YGP</t>
  </si>
  <si>
    <t xml:space="preserve">RMS  12-9  New Rates in place and extended through to May 31, 2026 </t>
  </si>
  <si>
    <t>MG follow up 2 Dec, 30JAN, customer advise they already in R2, pending for their client feedback</t>
  </si>
  <si>
    <t>ROUND 2 (3-DEC-2025): MEMBER INVOLVEMENT
ROUND 1 (24-NOV-2025): MEMBER INVOLVEMENT</t>
  </si>
  <si>
    <t>NAC has potential of 19000cbm volume annual</t>
  </si>
  <si>
    <t>EFL</t>
  </si>
  <si>
    <t>NIDEC</t>
  </si>
  <si>
    <t>LEGGETT &amp; PLATT</t>
  </si>
  <si>
    <t>Customer did not win the business</t>
  </si>
  <si>
    <t>TEXTILCOLOR</t>
  </si>
  <si>
    <t>POC 2.0 Classic, without member involvement, 25FEB, already in R2</t>
  </si>
  <si>
    <t>CARGO PARTNER NAC AT&amp;S</t>
  </si>
  <si>
    <t>LOUIS VUITTON</t>
  </si>
  <si>
    <t>LV</t>
  </si>
  <si>
    <t>ROUND 2 (22-DEC-2025): Member Involvement
ROUND 1 (12-DEC-2025): Member Involvement</t>
  </si>
  <si>
    <t>SKECHERS</t>
  </si>
  <si>
    <t xml:space="preserve">Hl 27DEC2025 - Crane Advised Skechers is pending for next round </t>
  </si>
  <si>
    <t>6/31/2026</t>
  </si>
  <si>
    <t>ROUND 2 (18-FEB-2026): MEMBER INVOLVEMENT
ROUND 1 (15-DEC-2025): MEMBER INVOLVEMENT</t>
  </si>
  <si>
    <t>Only quoted HAZ charges</t>
  </si>
  <si>
    <t>ROUND 1 (16-JAN-2026): MEMBER INVOLVEMENT
ROUND 1 (29-DEC-2025): MEMBER INVOLVEMENT</t>
  </si>
  <si>
    <t>KLN haven't eceived feedback from their customer yet</t>
  </si>
  <si>
    <t>Didn't meet the submission deadline.</t>
  </si>
  <si>
    <t>MG follow up 290126</t>
  </si>
  <si>
    <t>JARDINE SCHINDLER</t>
  </si>
  <si>
    <t>POC 2.0 Classic, without member involvement, MG follow up 29 JAN 2026, pending feedback</t>
  </si>
  <si>
    <t>SUMITOMO</t>
  </si>
  <si>
    <t>Already in R2</t>
  </si>
  <si>
    <t>SEJ: 20feb26: Volume commitment not received by customer however MQC 250 cbm / quarter i.e. 84 cbm per month applied</t>
  </si>
  <si>
    <t>GSA/GE</t>
  </si>
  <si>
    <t>SEJ FEB: WWA awarded primary, 1st backup and backup lanes - Volume commitment based on Primary however performance can indeed be much higher based on the 1st backup and backup lanes opportunities. ROUND 2 (13-JAN-2026): MEMBER INVOLVEMENT
ROUND 1 (5-JAN-2026): MEMBER INVOLVEMENT</t>
  </si>
  <si>
    <t>Pending for R2 result (250226)</t>
  </si>
  <si>
    <t>Round 1: POC 2.0 Classic, without member involvement
Round 2: With Member Involvement.</t>
  </si>
  <si>
    <t>GUESS</t>
  </si>
  <si>
    <t>volume will be booked under FAK</t>
  </si>
  <si>
    <t>YKK BOAT</t>
  </si>
  <si>
    <t>ZALANDO</t>
  </si>
  <si>
    <t>Still wating for customer's feedback</t>
  </si>
  <si>
    <t>11feb26: still pending customer's feedback.</t>
  </si>
  <si>
    <t>6734 CBM as Back-up</t>
  </si>
  <si>
    <t>NB 29 Jan: NAC is replacing the former Solenis and Allnex tariffs, which expire on January 31</t>
  </si>
  <si>
    <t>GROZ BECKERT</t>
  </si>
  <si>
    <t>We are not awarded for this customer. The target rate level for round 2 was partly 35% below our quoted rates.</t>
  </si>
  <si>
    <t>POC 2.0 Classic, without member involvement/ 11feb26: still pending customer's feedback.</t>
  </si>
  <si>
    <t>SMGCL AND ATSUMICTEC</t>
  </si>
  <si>
    <t>BEIERSDORF</t>
  </si>
  <si>
    <t>MG follow up 25 FEB, pending feedback</t>
  </si>
  <si>
    <t>Pending feedback from KLN 250226</t>
  </si>
  <si>
    <t>COVESTRO</t>
  </si>
  <si>
    <t>Covestro</t>
  </si>
  <si>
    <t>DANFOSS</t>
  </si>
  <si>
    <t>POC 2.0 Classic, without member involvement, MG follow up 25 FEB, pending feedback.</t>
  </si>
  <si>
    <t>250226 : PENDING FEEDBACK FROM RENAS</t>
  </si>
  <si>
    <t>MOTHERSON</t>
  </si>
  <si>
    <t>Atlas Copco</t>
  </si>
  <si>
    <t>250226 : DELAYED SUBMISSION</t>
  </si>
  <si>
    <t>ABB</t>
  </si>
  <si>
    <t>ABB-WWA</t>
  </si>
  <si>
    <t>SEJ FEB: pending first round - ABB tender not fully released yet. Geodis will revert with Round 1 details during Late March. Biz start not until June/July 26</t>
  </si>
  <si>
    <t>Porsche</t>
  </si>
  <si>
    <t>LIME</t>
  </si>
  <si>
    <t>SWIFT, without member involvement</t>
  </si>
  <si>
    <t>LIGENTIA</t>
  </si>
  <si>
    <t>POC 2.0 Classic, without member involvement
Awarded 4 lanes.</t>
  </si>
  <si>
    <t>SWIFT, without member involvement
MG Follow up 24 Nov, pending feedback from Geodis</t>
  </si>
  <si>
    <t>GIVAUDAN (PRISM)</t>
  </si>
  <si>
    <t>LOGISTEED</t>
  </si>
  <si>
    <t>GROUPE SEB</t>
  </si>
  <si>
    <t>PRESIDO</t>
  </si>
  <si>
    <t>WWA OWNER NO REPLY / UPATE / DELAY TO THE NAC OVERVIEW 2024 / 2025 / 2026</t>
  </si>
  <si>
    <t>GLOBAL ACCOUNT</t>
  </si>
  <si>
    <t>GLOBAL / NAC</t>
  </si>
  <si>
    <t xml:space="preserve">NAC </t>
  </si>
  <si>
    <t>REPORT DATE</t>
  </si>
  <si>
    <t>ISSUE DESCRIPTION</t>
  </si>
  <si>
    <t>EMAIL SUBJECT</t>
  </si>
  <si>
    <t>CATEGORY</t>
  </si>
  <si>
    <t>COUNT</t>
  </si>
  <si>
    <t>various</t>
  </si>
  <si>
    <t>NAC</t>
  </si>
  <si>
    <t>overview</t>
  </si>
  <si>
    <t>JANUARY</t>
  </si>
  <si>
    <t>Reply rcvd on 29th of Jan after reminder, deadline was 19th of Jan. EOB</t>
  </si>
  <si>
    <t>Updated WWA NAC Overview - November, 2023</t>
  </si>
  <si>
    <t>Delayed communication / missing info</t>
  </si>
  <si>
    <t>Shu Rong Lau</t>
  </si>
  <si>
    <t>Reply rcvd on 24th of Jan after reminder, deadline was 19th of Jan. EOB, still incomplete</t>
  </si>
  <si>
    <t>FEBRUARY</t>
  </si>
  <si>
    <t xml:space="preserve">NAC overview update deadline was 19th of Feb., received 23rd of Feb. </t>
  </si>
  <si>
    <t>Updated WWA NAC overview - December, 2023</t>
  </si>
  <si>
    <t>APRIL</t>
  </si>
  <si>
    <t>Incomplete updates of the WWA NAC overview</t>
  </si>
  <si>
    <t>Updated WWA NAC overview - March, 2024</t>
  </si>
  <si>
    <t>Incorrect / incomplete data shared</t>
  </si>
  <si>
    <t>No update/no response to NAC overview update for Mar. 2024</t>
  </si>
  <si>
    <t>Incomplete / missing data</t>
  </si>
  <si>
    <t>Jacqueline Chong</t>
  </si>
  <si>
    <t>Meidiana Dunn</t>
  </si>
  <si>
    <t>Serene Teo</t>
  </si>
  <si>
    <t>MAY</t>
  </si>
  <si>
    <t>No update/no response to NAC overview update for Apr. 2024</t>
  </si>
  <si>
    <t>Victoria Jinno</t>
  </si>
  <si>
    <t>JUNE</t>
  </si>
  <si>
    <t>No update/no response to NAC overview update for May. 2024</t>
  </si>
  <si>
    <t>Updated WWA NAC overview - April, 2024</t>
  </si>
  <si>
    <t>Roberta MacLeod</t>
  </si>
  <si>
    <t>Svend Christensen</t>
  </si>
  <si>
    <t>JULY</t>
  </si>
  <si>
    <t>No update/no response to NAC overview update for Jun. 2024</t>
  </si>
  <si>
    <t>Updated WWA NAC overview - May, 2024</t>
  </si>
  <si>
    <t>Caroline Larsen</t>
  </si>
  <si>
    <t>AUGUST</t>
  </si>
  <si>
    <t>No update/no response to NAC overview update for Jul. 2024</t>
  </si>
  <si>
    <t>Updated WWA NAC overview - June, 2024</t>
  </si>
  <si>
    <t>SEPTEMBER</t>
  </si>
  <si>
    <t>Missing complete details for NAC updates</t>
  </si>
  <si>
    <t>Updated WWA NAC overview - July, 2024</t>
  </si>
  <si>
    <t>Not updating the NAC overview with change in owners, email request from 22nd of August.</t>
  </si>
  <si>
    <t xml:space="preserve">Update owners /  Updated WWA NAC overview - July, 2024 </t>
  </si>
  <si>
    <t>Alicia Yong</t>
  </si>
  <si>
    <t>No update/no response to NAC overview update for Aug. 2024</t>
  </si>
  <si>
    <t>Cindy Law</t>
  </si>
  <si>
    <t>Gil Chiang</t>
  </si>
  <si>
    <t>Tan Ying Ying</t>
  </si>
  <si>
    <t>OCTOBER</t>
  </si>
  <si>
    <t>No update/no response to NAC overview update for Sep. 2024</t>
  </si>
  <si>
    <t>Updated WWA NAC overview - August, 2024</t>
  </si>
  <si>
    <t>Santiago Milian</t>
  </si>
  <si>
    <t>NOVEMBER</t>
  </si>
  <si>
    <t>No update/no response to NAC overview update for Oct. 2024</t>
  </si>
  <si>
    <t>Updated WWA NAC overview - September, 2024</t>
  </si>
  <si>
    <t>Loh Jia Yao</t>
  </si>
  <si>
    <t>Tara Tan</t>
  </si>
  <si>
    <t>DECEMBER</t>
  </si>
  <si>
    <t>No update/no response to NAC overview update for Nov. 2024</t>
  </si>
  <si>
    <t>Updated WWA NAC overview - October, 2024</t>
  </si>
  <si>
    <t>No update/no response to NAC overview update for Dec. 2024</t>
  </si>
  <si>
    <t>Updated WWA NAC overview - November, 2024</t>
  </si>
  <si>
    <t>No update/no response to NAC overview update for Jan. 2025</t>
  </si>
  <si>
    <t>Updated WWA NAC overview - December, 2024</t>
  </si>
  <si>
    <t>Doreen Lam</t>
  </si>
  <si>
    <t>Maximillan Backhuss</t>
  </si>
  <si>
    <t>Tom Hine</t>
  </si>
  <si>
    <t>MARCH</t>
  </si>
  <si>
    <t>No update/no response to NAC overview update for Feb. 2025</t>
  </si>
  <si>
    <t>Updated WWA NAC overview - January, 2025</t>
  </si>
  <si>
    <t>Edwin Van Holst</t>
  </si>
  <si>
    <t>Justin de Bruijn</t>
  </si>
  <si>
    <t xml:space="preserve">MARCH </t>
  </si>
  <si>
    <t>Delayed response, 2 days after deadline</t>
  </si>
  <si>
    <t>No update/no response to NAC overview update for Mar. 2025</t>
  </si>
  <si>
    <t>Updated WWA NAC overview - February, 2025</t>
  </si>
  <si>
    <t>No update/no response to NAC overview update for Apr. 2025</t>
  </si>
  <si>
    <t>Updated WWA NAC overview - March, 2025</t>
  </si>
  <si>
    <t>Submitted file via email, not online</t>
  </si>
  <si>
    <t>No update/no response to NAC overview update for May. 2025</t>
  </si>
  <si>
    <t>Updated WWA NAC overview - April, 2025</t>
  </si>
  <si>
    <t>Justin De Bruijn</t>
  </si>
  <si>
    <t>No update/no response to NAC overview update for Jun. 2025</t>
  </si>
  <si>
    <t>Updated WWA NAC overview - May, 2025</t>
  </si>
  <si>
    <t>Zou Gan</t>
  </si>
  <si>
    <t>No update/no response to NAC overview update for Jul. 2025</t>
  </si>
  <si>
    <t>Updated WWA NAC overview - Jun, 2025</t>
  </si>
  <si>
    <t>No update/no response to NAC overview update for Aug. 2025</t>
  </si>
  <si>
    <t>Updated WWA NAC overview - Jul, 2025</t>
  </si>
  <si>
    <t>No update/no response to NAC overview update for Sep. 2025</t>
  </si>
  <si>
    <t>Updated WWA NAC overview - Aug, 2025</t>
  </si>
  <si>
    <t>No update/no response to NAC overview update for Oct. 2025</t>
  </si>
  <si>
    <t>Updated WWA NAC overview - Sep, 2025</t>
  </si>
  <si>
    <t>No update/no response to NAC overview update for Nov. 2025</t>
  </si>
  <si>
    <t>Updated WWA NAC overview - Oct, 2025</t>
  </si>
  <si>
    <t>No update/no response to NAC overview update for Dec. 2025</t>
  </si>
  <si>
    <t>Updated WWA NAC overview - Nov, 2025</t>
  </si>
  <si>
    <t>Maria Girlie David</t>
  </si>
  <si>
    <t>No update/no response to NAC overview update for Jan. 2026</t>
  </si>
  <si>
    <t>Updated WWA NAC overview - Dec, 2025</t>
  </si>
  <si>
    <t>AO</t>
  </si>
  <si>
    <t>ACCOUNT OWNER</t>
  </si>
  <si>
    <t>REGION</t>
  </si>
  <si>
    <t>NAC IN WWA STATS</t>
  </si>
  <si>
    <t>NAC IN WWA NAC OVERVIEW</t>
  </si>
  <si>
    <t>NOT ABLE TO HANDLE AS POC REASON</t>
  </si>
  <si>
    <t>PMA</t>
  </si>
  <si>
    <t>APAC</t>
  </si>
  <si>
    <t>15+</t>
  </si>
  <si>
    <t>Competitive / target rate requirement</t>
  </si>
  <si>
    <t>MY</t>
  </si>
  <si>
    <t>Alicia Yong / Maria Girlie</t>
  </si>
  <si>
    <t>JB</t>
  </si>
  <si>
    <t>Allison Mena</t>
  </si>
  <si>
    <t>LATAM</t>
  </si>
  <si>
    <t>GRDB rate not yet availabe for 'new' calendaryear at time of request</t>
  </si>
  <si>
    <t>BLUE WATER</t>
  </si>
  <si>
    <t>NORAM</t>
  </si>
  <si>
    <t>ACI</t>
  </si>
  <si>
    <t>Handled via CENTRIC (test purposes)</t>
  </si>
  <si>
    <t>JP</t>
  </si>
  <si>
    <t>Bruce Ericson / Helen Li</t>
  </si>
  <si>
    <t>ADIDAS</t>
  </si>
  <si>
    <t>MAR</t>
  </si>
  <si>
    <t>ADIENT</t>
  </si>
  <si>
    <t>AE LEBANON ALLEN EDMONDS</t>
  </si>
  <si>
    <t>Replicate from same NAC already quoted for other account.</t>
  </si>
  <si>
    <t>BE</t>
  </si>
  <si>
    <t>Chris Crowder / Santiago Milian</t>
  </si>
  <si>
    <t>AEROSUD</t>
  </si>
  <si>
    <t>MBK</t>
  </si>
  <si>
    <t>Mette B. Karapetian</t>
  </si>
  <si>
    <t>Diane Kaiser</t>
  </si>
  <si>
    <t>AICC</t>
  </si>
  <si>
    <t>DP World</t>
  </si>
  <si>
    <t>Doreen Lam / Maria Girlie</t>
  </si>
  <si>
    <t>AL SHAYA</t>
  </si>
  <si>
    <t>Edwin van Holst</t>
  </si>
  <si>
    <t>EMEA</t>
  </si>
  <si>
    <t>ALCOA</t>
  </si>
  <si>
    <t>JB/ CS / DK</t>
  </si>
  <si>
    <t>Jakob Bluhme / Christine Solorzano / Diane Kaiser</t>
  </si>
  <si>
    <t>ALFA LAVAL</t>
  </si>
  <si>
    <t>ALO YOGA</t>
  </si>
  <si>
    <t>ALU SYSTEM</t>
  </si>
  <si>
    <t>CC</t>
  </si>
  <si>
    <t>Kevin Taylor / Helen Li</t>
  </si>
  <si>
    <t>AMCOR</t>
  </si>
  <si>
    <t>Maria Girlie</t>
  </si>
  <si>
    <t>AMPERE</t>
  </si>
  <si>
    <t>KT</t>
  </si>
  <si>
    <t>Maria Girlie / Cindy Law</t>
  </si>
  <si>
    <t>ANGUS CHEMIE</t>
  </si>
  <si>
    <t>Maria Girlie / Doreen Lam</t>
  </si>
  <si>
    <t>Maria Girlie / Gil Chiang</t>
  </si>
  <si>
    <t>APERAM</t>
  </si>
  <si>
    <t>Maria Girlie / Michelle Yu</t>
  </si>
  <si>
    <t>APEX CIRCUIT</t>
  </si>
  <si>
    <t>Maria Girlie / Ronan Teoh</t>
  </si>
  <si>
    <t>APTAR</t>
  </si>
  <si>
    <t>Maria Girlie / Santiago Milian</t>
  </si>
  <si>
    <t>Maria Girlie / Yi Wei</t>
  </si>
  <si>
    <t>ARCHROMA</t>
  </si>
  <si>
    <t>Maria Girlie/ Jens Pottschul</t>
  </si>
  <si>
    <t>ASICS</t>
  </si>
  <si>
    <t>MAERSK</t>
  </si>
  <si>
    <t>SJ</t>
  </si>
  <si>
    <t>Maria Girlie/ Seek Zou Gan</t>
  </si>
  <si>
    <t>ASUS</t>
  </si>
  <si>
    <t>Martin Schulz / Susanne Elsborg-Jensen</t>
  </si>
  <si>
    <t>JB/ TH</t>
  </si>
  <si>
    <t>Jakob Bluhme / Tom Hine</t>
  </si>
  <si>
    <t>AUBERT &amp; DUVAL + ERASTEE</t>
  </si>
  <si>
    <t>Meidiana Dunn / Santiago Milian</t>
  </si>
  <si>
    <t>AUTO</t>
  </si>
  <si>
    <t>Michelle Yu/Maria Girlie</t>
  </si>
  <si>
    <t>AVIENT</t>
  </si>
  <si>
    <t>RH</t>
  </si>
  <si>
    <t>Ryan Howell</t>
  </si>
  <si>
    <t>AXALTA</t>
  </si>
  <si>
    <t xml:space="preserve">Nadine Beer </t>
  </si>
  <si>
    <t>AXIS</t>
  </si>
  <si>
    <t>PMA/ SJ</t>
  </si>
  <si>
    <t>Peter Andersen / Susanne Elsborg-Jensen</t>
  </si>
  <si>
    <t>Roberta MacLeod / Santiago Milian</t>
  </si>
  <si>
    <t>AZTEK</t>
  </si>
  <si>
    <t>BABYBOO</t>
  </si>
  <si>
    <t>Ryan Robert Howell / Helen Li</t>
  </si>
  <si>
    <t>BASICS</t>
  </si>
  <si>
    <t>RM</t>
  </si>
  <si>
    <t xml:space="preserve">Roberta MacLeod-Stuart </t>
  </si>
  <si>
    <t>BAYER</t>
  </si>
  <si>
    <t>Seek Zou Gan</t>
  </si>
  <si>
    <t>BAYER+LANXESS</t>
  </si>
  <si>
    <t>SL</t>
  </si>
  <si>
    <t>Seek Zou Gan / Maria Girlie</t>
  </si>
  <si>
    <t>BBA</t>
  </si>
  <si>
    <t>NB / MS</t>
  </si>
  <si>
    <t>Nadine Beer/ Martin Schulz</t>
  </si>
  <si>
    <t>Seek Zou Gan / Martin Schulz</t>
  </si>
  <si>
    <t>BELCORP</t>
  </si>
  <si>
    <t>BENCHMARK</t>
  </si>
  <si>
    <t>CB</t>
  </si>
  <si>
    <t>BEURSKENS</t>
  </si>
  <si>
    <t>BHTC</t>
  </si>
  <si>
    <t>RL</t>
  </si>
  <si>
    <t>Roatha LY</t>
  </si>
  <si>
    <t>Tara Tan / Jens Pottschul</t>
  </si>
  <si>
    <t>Tara Tan / Svend Christensen</t>
  </si>
  <si>
    <t>BMI</t>
  </si>
  <si>
    <t>Tinisa Moodley</t>
  </si>
  <si>
    <t>BMW</t>
  </si>
  <si>
    <t>Tinisa Moodley / Michelle Horner</t>
  </si>
  <si>
    <t>BODUM</t>
  </si>
  <si>
    <t>BOEING</t>
  </si>
  <si>
    <t>Yi Wei</t>
  </si>
  <si>
    <t>Yi Wei and Maria Girlie</t>
  </si>
  <si>
    <t>BÖHLER / PEWAG</t>
  </si>
  <si>
    <t>BOMBARDIER AEROSPACE</t>
  </si>
  <si>
    <t>BORGWARNER</t>
  </si>
  <si>
    <t>BOSSARD</t>
  </si>
  <si>
    <t>BOYD</t>
  </si>
  <si>
    <t>BRUKAR</t>
  </si>
  <si>
    <t>BRUNEI SHELL</t>
  </si>
  <si>
    <t>BUCKMAN</t>
  </si>
  <si>
    <t>BUFAB</t>
  </si>
  <si>
    <t>BUHLER</t>
  </si>
  <si>
    <t>BULTOS ABOLLADOS</t>
  </si>
  <si>
    <t>CABLE DEPOT</t>
  </si>
  <si>
    <t>CAJA ABOLLADA</t>
  </si>
  <si>
    <t>CANSON</t>
  </si>
  <si>
    <t>CANTEL</t>
  </si>
  <si>
    <t>CAPRI HOLDINGS</t>
  </si>
  <si>
    <t>CASTORAMA</t>
  </si>
  <si>
    <t>CATERPILLAR</t>
  </si>
  <si>
    <t>CBK</t>
  </si>
  <si>
    <t>CELANESE</t>
  </si>
  <si>
    <t>C-ELEMATEC</t>
  </si>
  <si>
    <t>CFT INTERNATIONAL</t>
  </si>
  <si>
    <t>CHEMIE</t>
  </si>
  <si>
    <t>CLARIANT</t>
  </si>
  <si>
    <t>CNH</t>
  </si>
  <si>
    <t>CODELCO</t>
  </si>
  <si>
    <t>COLUMBIA SPORTSWEAR</t>
  </si>
  <si>
    <t>CONTINENTAL</t>
  </si>
  <si>
    <t>COVESTRO – LANXESS</t>
  </si>
  <si>
    <t>CRISTIAN LAY &amp; PERSEIDA</t>
  </si>
  <si>
    <t>CRS DENIM GARMENT EGYPT</t>
  </si>
  <si>
    <t>DACHS</t>
  </si>
  <si>
    <t>DACHS KONDEL</t>
  </si>
  <si>
    <t>DAFY MOTO</t>
  </si>
  <si>
    <t>DANA</t>
  </si>
  <si>
    <t>DELTA</t>
  </si>
  <si>
    <t>DENSO</t>
  </si>
  <si>
    <t>DESTER</t>
  </si>
  <si>
    <t>DGA</t>
  </si>
  <si>
    <t>DHANUKA</t>
  </si>
  <si>
    <t>DNM TEXTILE FOR SPINNING</t>
  </si>
  <si>
    <t>DONALDSON</t>
  </si>
  <si>
    <t>DORMAKABA</t>
  </si>
  <si>
    <t>DOW CHEMICALS</t>
  </si>
  <si>
    <t>DRAEXLMAIER</t>
  </si>
  <si>
    <t>DUYVELAAR</t>
  </si>
  <si>
    <t>DYSTAR</t>
  </si>
  <si>
    <t>E&amp;H PRECISION</t>
  </si>
  <si>
    <t>ECCO</t>
  </si>
  <si>
    <t>EGA</t>
  </si>
  <si>
    <t>EMERSON</t>
  </si>
  <si>
    <t>EMIRATES GLOBAL ALUMINIUM (EGA)</t>
  </si>
  <si>
    <t>EMS-CHEMIE</t>
  </si>
  <si>
    <t>EPIROC</t>
  </si>
  <si>
    <t>ERICSSON</t>
  </si>
  <si>
    <t>ESBELT</t>
  </si>
  <si>
    <t>ESSILOR</t>
  </si>
  <si>
    <t>EULC</t>
  </si>
  <si>
    <t>EUROPARTNER</t>
  </si>
  <si>
    <t>EUROTRONIX</t>
  </si>
  <si>
    <t>EUROTRONIX &amp; HUAYI</t>
  </si>
  <si>
    <t>FABRINET</t>
  </si>
  <si>
    <t>FAUR</t>
  </si>
  <si>
    <t>FAURECIA</t>
  </si>
  <si>
    <t>FICOSA</t>
  </si>
  <si>
    <t>FIRMENICH</t>
  </si>
  <si>
    <t>FLEX+</t>
  </si>
  <si>
    <t>FLINT</t>
  </si>
  <si>
    <t>FLIWAY SAMSUNG</t>
  </si>
  <si>
    <t>FLOW SHAPE TECHNOLOGIES</t>
  </si>
  <si>
    <t>FLOWSERVE</t>
  </si>
  <si>
    <t>FORD</t>
  </si>
  <si>
    <t>FRIEDRICH GEWUERZE</t>
  </si>
  <si>
    <t>FSP ONE</t>
  </si>
  <si>
    <t>FUJITSU</t>
  </si>
  <si>
    <t>FURUKAWA</t>
  </si>
  <si>
    <t>GARRETT</t>
  </si>
  <si>
    <t>GATES</t>
  </si>
  <si>
    <t>GAZELLE</t>
  </si>
  <si>
    <t>GE GRID</t>
  </si>
  <si>
    <t>GE RENEWABLES</t>
  </si>
  <si>
    <t>GENERAL NOLI</t>
  </si>
  <si>
    <t>GESCOEX</t>
  </si>
  <si>
    <t>GORE</t>
  </si>
  <si>
    <t>GORI</t>
  </si>
  <si>
    <t>GROUP SEB</t>
  </si>
  <si>
    <t>GRUNDFOS</t>
  </si>
  <si>
    <t>GUERLAIN</t>
  </si>
  <si>
    <t>GURUPRO</t>
  </si>
  <si>
    <t>GV DIRECT</t>
  </si>
  <si>
    <t>HÄFELE</t>
  </si>
  <si>
    <t>HALLIBURTON</t>
  </si>
  <si>
    <t>HASTENS</t>
  </si>
  <si>
    <t>HBA</t>
  </si>
  <si>
    <t>HEINEKEN</t>
  </si>
  <si>
    <t>HELLA</t>
  </si>
  <si>
    <t>HIDROVER</t>
  </si>
  <si>
    <t>HITACHI METALS</t>
  </si>
  <si>
    <t>HOBBY LOBBY</t>
  </si>
  <si>
    <t>HOGANAS</t>
  </si>
  <si>
    <t>HUAYI COMPRESSOR</t>
  </si>
  <si>
    <t>HUGO BOSS</t>
  </si>
  <si>
    <t>IFF MURCIA NATURAL INGREDIENTES</t>
  </si>
  <si>
    <t>IGB AUTOMOTIVE</t>
  </si>
  <si>
    <t>IHARZ</t>
  </si>
  <si>
    <t>INALFA</t>
  </si>
  <si>
    <t>INFINEON TECHNOLOGIES</t>
  </si>
  <si>
    <t>INGERSOLL</t>
  </si>
  <si>
    <t>ITV</t>
  </si>
  <si>
    <t>JADE TEXTILE</t>
  </si>
  <si>
    <t>JADE TEXTILE CAIRO</t>
  </si>
  <si>
    <t>JADE TEXTILE ISMAILIA</t>
  </si>
  <si>
    <t>JANSEN</t>
  </si>
  <si>
    <t>JBC SOLDERING</t>
  </si>
  <si>
    <t>JCB</t>
  </si>
  <si>
    <t>JG AUTOMOTIVE</t>
  </si>
  <si>
    <t>JTEKT ALPENTECH</t>
  </si>
  <si>
    <t>K&amp;N/MR MASCHINENFABRIK RHEINHAUSEN</t>
  </si>
  <si>
    <t>KANTHAL</t>
  </si>
  <si>
    <t>KEBODA</t>
  </si>
  <si>
    <t>KERRY INGREDIENTS</t>
  </si>
  <si>
    <t>KILIIM FOR DESIGN AND TRADE</t>
  </si>
  <si>
    <t>KN3M2016</t>
  </si>
  <si>
    <t>KOB</t>
  </si>
  <si>
    <t>KOBELCO</t>
  </si>
  <si>
    <t>KOELN</t>
  </si>
  <si>
    <t>KONTOOR BRAND</t>
  </si>
  <si>
    <t>L’ORÉAL</t>
  </si>
  <si>
    <t>L'OREAL</t>
  </si>
  <si>
    <t>LABORATORIOS CALIER</t>
  </si>
  <si>
    <t>LACOSTE</t>
  </si>
  <si>
    <t>LACTOSAN</t>
  </si>
  <si>
    <t>LANXESS</t>
  </si>
  <si>
    <t>LECTRA</t>
  </si>
  <si>
    <t>LEXZAU NAC WACKER</t>
  </si>
  <si>
    <t>LEXZAU/BAYER+LANXESS+COVESTRO</t>
  </si>
  <si>
    <t>LIFE FITNESS</t>
  </si>
  <si>
    <t>LINDSEY MANUFACTURING</t>
  </si>
  <si>
    <t>LM WIND</t>
  </si>
  <si>
    <t>LOTUS GARMENTS COMPANY</t>
  </si>
  <si>
    <t>LOTUS HI FASHION GARMENTS</t>
  </si>
  <si>
    <t>LUBRIZOL</t>
  </si>
  <si>
    <t>LULULEMON</t>
  </si>
  <si>
    <t>LYONDELLBASELL</t>
  </si>
  <si>
    <t>MAHLE BEHR</t>
  </si>
  <si>
    <t>MAKITA</t>
  </si>
  <si>
    <t>MANN &amp; HUMMEL</t>
  </si>
  <si>
    <t>MARTEC</t>
  </si>
  <si>
    <t>MERANGUE</t>
  </si>
  <si>
    <t>MERCEDES</t>
  </si>
  <si>
    <t>MERCHANT FASTENER</t>
  </si>
  <si>
    <t>MERCHANTS FASTENERS CORPORATION</t>
  </si>
  <si>
    <t>MICROTEK</t>
  </si>
  <si>
    <t>MINIBEA</t>
  </si>
  <si>
    <t>MINILAND</t>
  </si>
  <si>
    <t>MIRACEMA | MOMENTIVE</t>
  </si>
  <si>
    <t>MITSUBISHI TURBO CHARGER ASIA</t>
  </si>
  <si>
    <t>MITSUISEIMITSU</t>
  </si>
  <si>
    <t>MKORS</t>
  </si>
  <si>
    <t>MKTO</t>
  </si>
  <si>
    <t>MULTIVAC</t>
  </si>
  <si>
    <t>MYNTRA</t>
  </si>
  <si>
    <t>NATIONAL INDUSTRIAL CONCEPTS, INC.</t>
  </si>
  <si>
    <t>NATIONAL PEN</t>
  </si>
  <si>
    <t>NATURA-ZABRISKIE</t>
  </si>
  <si>
    <t>NEXPERIA</t>
  </si>
  <si>
    <t>NISSAN TRADING</t>
  </si>
  <si>
    <t>NOVOZYMES</t>
  </si>
  <si>
    <t>NUI PHAO MINING</t>
  </si>
  <si>
    <t>OCCITANE</t>
  </si>
  <si>
    <t>OFERTADO A</t>
  </si>
  <si>
    <t>ORIAN</t>
  </si>
  <si>
    <t>ORIFLAME</t>
  </si>
  <si>
    <t>OTIS</t>
  </si>
  <si>
    <t>OTIS ELEVATOR</t>
  </si>
  <si>
    <t>OTTOBOCK</t>
  </si>
  <si>
    <t>PANDA</t>
  </si>
  <si>
    <t>PAPANDAYAN</t>
  </si>
  <si>
    <t>PEARSON</t>
  </si>
  <si>
    <t>PGP</t>
  </si>
  <si>
    <t>PHILIPS</t>
  </si>
  <si>
    <t>PLASTIC OMNIUM</t>
  </si>
  <si>
    <t>POST</t>
  </si>
  <si>
    <t>PREMIUM SOUND SOLUTIONS</t>
  </si>
  <si>
    <t>PREMO</t>
  </si>
  <si>
    <t>PROFOTO</t>
  </si>
  <si>
    <t>PROTERIAL</t>
  </si>
  <si>
    <t>PUMA</t>
  </si>
  <si>
    <t>PVH</t>
  </si>
  <si>
    <t>RAS</t>
  </si>
  <si>
    <t>REXNORD</t>
  </si>
  <si>
    <t>REHLKO</t>
  </si>
  <si>
    <t>REINTJES</t>
  </si>
  <si>
    <t>RELIANCE</t>
  </si>
  <si>
    <t>RENSON</t>
  </si>
  <si>
    <t>RICOH</t>
  </si>
  <si>
    <t>RIMI</t>
  </si>
  <si>
    <t>ROCA</t>
  </si>
  <si>
    <t>ROHM INTEGRATED SYSTEMS</t>
  </si>
  <si>
    <t>ROMTRANS</t>
  </si>
  <si>
    <t>SALUC</t>
  </si>
  <si>
    <t>SAMSUNG</t>
  </si>
  <si>
    <t>SANDEN</t>
  </si>
  <si>
    <t>SANTOVA</t>
  </si>
  <si>
    <t>SCANIA</t>
  </si>
  <si>
    <t>SCHINDLER</t>
  </si>
  <si>
    <t>JARDINE SCHINLER</t>
  </si>
  <si>
    <t>SECURITAS DIRECT</t>
  </si>
  <si>
    <t>SERVIMEX</t>
  </si>
  <si>
    <t>SHIPROCKET</t>
  </si>
  <si>
    <t>SHOEBY</t>
  </si>
  <si>
    <t>SHPP</t>
  </si>
  <si>
    <t>SI GROUP</t>
  </si>
  <si>
    <t>SIEGWERK</t>
  </si>
  <si>
    <t>SMITH &amp; ZOON</t>
  </si>
  <si>
    <t>SNA/BST POWER</t>
  </si>
  <si>
    <t>SOLVAY</t>
  </si>
  <si>
    <t>SOMFY</t>
  </si>
  <si>
    <t>SONY</t>
  </si>
  <si>
    <t>SPECIALITY BOLT AND SCREW</t>
  </si>
  <si>
    <t>STAHL</t>
  </si>
  <si>
    <t>STEELCASE</t>
  </si>
  <si>
    <t>STG</t>
  </si>
  <si>
    <t>SUN &amp; SAND</t>
  </si>
  <si>
    <t>SUN CHEMICAL</t>
  </si>
  <si>
    <t>SUUS</t>
  </si>
  <si>
    <t>SYMPHONY</t>
  </si>
  <si>
    <t>T&amp;C GARMENTS S A E</t>
  </si>
  <si>
    <t>TA 2020</t>
  </si>
  <si>
    <t>TA2014</t>
  </si>
  <si>
    <t>TATA</t>
  </si>
  <si>
    <t>TECHNETIX LIMITED</t>
  </si>
  <si>
    <t>TELSTAR</t>
  </si>
  <si>
    <t>TETRA PAK</t>
  </si>
  <si>
    <t>THULE</t>
  </si>
  <si>
    <t>TLD</t>
  </si>
  <si>
    <t>TMSS</t>
  </si>
  <si>
    <t>TOGG</t>
  </si>
  <si>
    <t>TOLLANTA</t>
  </si>
  <si>
    <t>TOSHIBA</t>
  </si>
  <si>
    <t>TRANSBORDOS</t>
  </si>
  <si>
    <t>TSL</t>
  </si>
  <si>
    <t>TTI</t>
  </si>
  <si>
    <t>UNIQLO</t>
  </si>
  <si>
    <t>VAIRAS CARGO</t>
  </si>
  <si>
    <t>VELILLA</t>
  </si>
  <si>
    <t>VESSI</t>
  </si>
  <si>
    <t>VIDARA</t>
  </si>
  <si>
    <t>VITESCO</t>
  </si>
  <si>
    <t>VOXX</t>
  </si>
  <si>
    <t>WARTSILA</t>
  </si>
  <si>
    <t>WELBILT</t>
  </si>
  <si>
    <t>WEST PHARMA</t>
  </si>
  <si>
    <t>XYLEM</t>
  </si>
  <si>
    <t>YAZAKI</t>
  </si>
  <si>
    <t>YKK</t>
  </si>
  <si>
    <t>ZEXT</t>
  </si>
  <si>
    <t>BAXTER</t>
  </si>
  <si>
    <t>RUTH CARGO</t>
  </si>
  <si>
    <t>MAMMUTS</t>
  </si>
  <si>
    <t>EELDE</t>
  </si>
  <si>
    <t>KCE</t>
  </si>
  <si>
    <t>INFORAS</t>
  </si>
  <si>
    <t>AMW-LC</t>
  </si>
  <si>
    <t>HAMA TECH</t>
  </si>
  <si>
    <t>BROSE</t>
  </si>
  <si>
    <t>NAPINO</t>
  </si>
  <si>
    <t>FREEHAND</t>
  </si>
  <si>
    <t>SPECIAL LCL</t>
  </si>
  <si>
    <t>EUROFRAGANCE</t>
  </si>
  <si>
    <t>CHEMIE-MIX</t>
  </si>
  <si>
    <t>LEXZAU/CHEMICAL ACCOUNTS</t>
  </si>
  <si>
    <t>KOBE</t>
  </si>
  <si>
    <t>TODO INTL</t>
  </si>
  <si>
    <t>SCS</t>
  </si>
  <si>
    <t>CHEMICALS HH</t>
  </si>
  <si>
    <t>CHEMICALS RATINGEN</t>
  </si>
  <si>
    <t>RFSU</t>
  </si>
  <si>
    <t>PELICAN PRODUCTS</t>
  </si>
  <si>
    <t>PLCL</t>
  </si>
  <si>
    <t>USLCL</t>
  </si>
  <si>
    <t>CITY CHIC</t>
  </si>
  <si>
    <t>ROATHA LY</t>
  </si>
  <si>
    <t>MARY-ANNE CHUA</t>
  </si>
  <si>
    <t>JUSTIN DE BRUIJN</t>
  </si>
  <si>
    <t>YI WEI</t>
  </si>
  <si>
    <t xml:space="preserve">HUSQVARNA </t>
  </si>
  <si>
    <t xml:space="preserve">VOLVO </t>
  </si>
  <si>
    <t xml:space="preserve">MAHLE </t>
  </si>
  <si>
    <t xml:space="preserve">TJX </t>
  </si>
  <si>
    <t>GROUPE</t>
  </si>
  <si>
    <t xml:space="preserve">PANASONIC </t>
  </si>
  <si>
    <t xml:space="preserve">LEAR </t>
  </si>
  <si>
    <t xml:space="preserve">PRESIDO </t>
  </si>
  <si>
    <t xml:space="preserve">OTIS </t>
  </si>
  <si>
    <t>AY MCDONALD VAL-MATIC</t>
  </si>
  <si>
    <t>Surcharge update as per WWA Advisory</t>
  </si>
  <si>
    <t>Dennis Frankowski</t>
  </si>
  <si>
    <t>FIVE STAR</t>
  </si>
  <si>
    <t>DF</t>
  </si>
  <si>
    <t>MONDIALE</t>
  </si>
  <si>
    <t>John Forster</t>
  </si>
  <si>
    <t>JF</t>
  </si>
  <si>
    <t>All US Origins to All Destinations Worldwide USD 6.00 w/m, INTRA ASIA USD 3.00 w/m,  All other trade lanes WW USD 7.00 w/m.</t>
  </si>
  <si>
    <t>Commodity</t>
  </si>
  <si>
    <t>Cargo Ratio</t>
  </si>
  <si>
    <t>Currency
(FOB-PLC)</t>
  </si>
  <si>
    <t>Currency
(OFR)</t>
  </si>
  <si>
    <t>ALTERNATIVE CFS</t>
  </si>
  <si>
    <t>DSV GLOBAL (RFQ &amp; NON-RFQ LANES)</t>
  </si>
  <si>
    <t>FOB/PLC VALIDITY EFFECTIVE DATE</t>
  </si>
  <si>
    <t>TYPE</t>
  </si>
  <si>
    <t>REGIONAL/
GLOBAL</t>
  </si>
  <si>
    <t>GLOBAL</t>
  </si>
  <si>
    <t>USER</t>
  </si>
  <si>
    <t>RFQ HANDLER</t>
  </si>
  <si>
    <t>Sunil</t>
  </si>
  <si>
    <t>Sonali</t>
  </si>
  <si>
    <t>Rohan</t>
  </si>
  <si>
    <t>Kajal</t>
  </si>
  <si>
    <t>Aseem</t>
  </si>
  <si>
    <t>Sachin</t>
  </si>
  <si>
    <t>Shraddha</t>
  </si>
  <si>
    <t>Krushna</t>
  </si>
  <si>
    <t>Samuel</t>
  </si>
  <si>
    <t>BI-WEEKLY 
(1-15: Member; 
16-31: Advisory)</t>
  </si>
  <si>
    <t>IMO2020/GRI/ESF/E-PSS/LWS/PCS UNDER RATE ADJUSTMENT COLUMN</t>
  </si>
  <si>
    <t>UNDER ECRS (ESF,E-PSS,LWS/PCS)</t>
  </si>
  <si>
    <t>IMO2020/GRI/ETSS/FEMS/ESF/E-PSS/LWS/PCS UNDER RATE ADJUSTMENT COLUMN</t>
  </si>
  <si>
    <t>MONTHLY (AS PER ANNOUNCEMENT)</t>
  </si>
  <si>
    <t>PRE-DEFINED (AGREEMENT)</t>
  </si>
  <si>
    <t>Members involvement</t>
  </si>
  <si>
    <t>FAK SCHEDULE</t>
  </si>
  <si>
    <t>FAK SETUP</t>
  </si>
  <si>
    <t>USD</t>
  </si>
  <si>
    <t>1:1000</t>
  </si>
  <si>
    <t>General cargo, FAK (Non HAZ)</t>
  </si>
  <si>
    <t>INCL IN ESF</t>
  </si>
  <si>
    <t>UPS GLOBAL</t>
  </si>
  <si>
    <t>INCL IN EMERMIT</t>
  </si>
  <si>
    <t>INCL IN SURCHARGE</t>
  </si>
  <si>
    <t>1 cbm = 1000 kgs</t>
  </si>
  <si>
    <t>INCL IN ETSS/FEMS</t>
  </si>
  <si>
    <t>INCL IN IMO2020</t>
  </si>
  <si>
    <t>INCL IN E-PSS</t>
  </si>
  <si>
    <t>General, FAK cargo, Non HAZ &amp; HAZ class 3,6,8,9</t>
  </si>
  <si>
    <t>SYLVIA LATHOUWERS</t>
  </si>
  <si>
    <t>MICHELLE YU</t>
  </si>
  <si>
    <t>ELVIRA TAKX / MARY ANNE CHUA</t>
  </si>
  <si>
    <t>RYAN ROBERT HOWELL</t>
  </si>
  <si>
    <t>MARTIN SCHULZ</t>
  </si>
  <si>
    <t>NADINE</t>
  </si>
  <si>
    <t>JAKOB BLUHME</t>
  </si>
  <si>
    <t>SANTIAGO</t>
  </si>
  <si>
    <t>BRUCE ERICSON</t>
  </si>
  <si>
    <t>METTE KARAPETIAN</t>
  </si>
  <si>
    <t>CHRIS CROWDER / HELEN LI</t>
  </si>
  <si>
    <t>JENS POTTSCHUL</t>
  </si>
  <si>
    <t>IRTASIA/MARIA GIRLIE</t>
  </si>
  <si>
    <t>NADINE/SANTIAGO</t>
  </si>
  <si>
    <t>MARY-ANNE CHUA/CHRISTINE ZHENG</t>
  </si>
  <si>
    <t>METTE KARAPETIAN/SYLVIA LATHOUWERS</t>
  </si>
  <si>
    <t>HELEN</t>
  </si>
  <si>
    <t>MICHELLE YU CC. MARIA GIRLIE &amp; IRT ASIA</t>
  </si>
  <si>
    <t>MARTIN SCHULZ/SUSANNE ELSBORG-JENSEN</t>
  </si>
  <si>
    <t>SUSANNE</t>
  </si>
  <si>
    <t>MARTIN SCHULZ/NADINE BEER</t>
  </si>
  <si>
    <t>CHRIS CROWDER</t>
  </si>
  <si>
    <t>JENS POTTSCHUL/MICHELLE YU</t>
  </si>
  <si>
    <t>KERRY HIRST</t>
  </si>
  <si>
    <t>KEVIN TAYLOR</t>
  </si>
  <si>
    <t>METTE KARAPETIAN / SUSANNE ELSBORG-JENSEN</t>
  </si>
  <si>
    <t>SUSANNE / SANTIAGO</t>
  </si>
  <si>
    <t>DIANE KAISER</t>
  </si>
  <si>
    <t>DIRECT SHARING WITH MEMBERS (Y/N)</t>
  </si>
  <si>
    <t>METTE KARAPETIAN/SANTIAGO MILIAN</t>
  </si>
  <si>
    <t>JOHN FORSTER</t>
  </si>
  <si>
    <t xml:space="preserve">DSV </t>
  </si>
  <si>
    <t>ORIGIN E-INF SURCHARGE</t>
  </si>
  <si>
    <t>DESTINATION E-INF SURCHARGE</t>
  </si>
  <si>
    <t>ORIGIN/DESINATION VALIDITY</t>
  </si>
  <si>
    <t>BI-WEEKLY (AGREEMENT)</t>
  </si>
  <si>
    <t>INCL IN FOB</t>
  </si>
  <si>
    <t>INCL IN PLC</t>
  </si>
  <si>
    <t>INCL IN E-BAF</t>
  </si>
  <si>
    <t>HL</t>
  </si>
  <si>
    <t>MPCI FILING FEE</t>
  </si>
  <si>
    <t>DMCE FILING FEE</t>
  </si>
  <si>
    <r>
      <t xml:space="preserve">1st Half - Members involvement
2nd Half - As per Advisory
</t>
    </r>
    <r>
      <rPr>
        <b/>
        <sz val="8"/>
        <rFont val="Calibri"/>
        <family val="2"/>
      </rPr>
      <t>DMCE</t>
    </r>
    <r>
      <rPr>
        <sz val="8"/>
        <rFont val="Calibri"/>
        <family val="2"/>
      </rPr>
      <t>: Rates effective 1st June 2026</t>
    </r>
  </si>
  <si>
    <t>Pending response from owner</t>
  </si>
  <si>
    <t>ET /  MAC</t>
  </si>
  <si>
    <t>MAC</t>
  </si>
  <si>
    <t>DFR</t>
  </si>
  <si>
    <t>Elvira Takx / Mary Anne Chua</t>
  </si>
  <si>
    <t>Mary Anne Chua</t>
  </si>
  <si>
    <t>Mette Bjornholt Karapetian</t>
  </si>
  <si>
    <t>AITFREIGHT</t>
  </si>
  <si>
    <t>ARAMEX</t>
  </si>
  <si>
    <t>BARSAN</t>
  </si>
  <si>
    <t>EFLCONT</t>
  </si>
  <si>
    <t>EVCARGO</t>
  </si>
  <si>
    <t>FIBS</t>
  </si>
  <si>
    <t>FIVESTAR</t>
  </si>
  <si>
    <t>MORRISON</t>
  </si>
  <si>
    <t>SCANSHIP</t>
  </si>
  <si>
    <t>INCL IN COMPENSATION</t>
  </si>
  <si>
    <t>UPDATE TYPE</t>
  </si>
  <si>
    <t>OFR &amp; Service Update Request</t>
  </si>
  <si>
    <t>Additional new lane request</t>
  </si>
  <si>
    <t>HANDLE VIA</t>
  </si>
  <si>
    <t>RFQ TOOL - https://rfqtool.wwalliance.com</t>
  </si>
  <si>
    <t>CENTRIC - https://centric.wwalliance.com</t>
  </si>
  <si>
    <t>Customer</t>
  </si>
  <si>
    <t>Link</t>
  </si>
  <si>
    <t xml:space="preserve">Exceptions </t>
  </si>
  <si>
    <t xml:space="preserve">N </t>
  </si>
  <si>
    <t>R</t>
  </si>
  <si>
    <t>G</t>
  </si>
  <si>
    <t>REGIONAL/
GLOBAL
(R/G)</t>
  </si>
  <si>
    <t>Michelly Yu</t>
  </si>
  <si>
    <t>IRTAsia</t>
  </si>
  <si>
    <t>ORIGIN E-INF</t>
  </si>
  <si>
    <t>DESTINATION E-INF</t>
  </si>
  <si>
    <t>E-BAF</t>
  </si>
  <si>
    <t>WRS</t>
  </si>
  <si>
    <t>3RD PARTY CFS</t>
  </si>
  <si>
    <t>BMSB</t>
  </si>
  <si>
    <t>STORAGE FREE DAYS</t>
  </si>
  <si>
    <t>Yearly</t>
  </si>
  <si>
    <t>Quote Separately For Class 3,6,8,9</t>
  </si>
  <si>
    <t>Quote Separately</t>
  </si>
  <si>
    <t>Excluded</t>
  </si>
  <si>
    <t>Bi-Weekly</t>
  </si>
  <si>
    <t>Monthly</t>
  </si>
  <si>
    <t>Quarterly</t>
  </si>
  <si>
    <t>Santiago</t>
  </si>
  <si>
    <t>Chris Crowder / Helen Li</t>
  </si>
  <si>
    <t>Nadine</t>
  </si>
  <si>
    <t>Nadine/Santiago</t>
  </si>
  <si>
    <t>Mary-Anne Chua</t>
  </si>
  <si>
    <t>Mette Karapetian/Sylvia Lathouwers</t>
  </si>
  <si>
    <t>Mette Karapetian/Santiago Milian</t>
  </si>
  <si>
    <t>Helen</t>
  </si>
  <si>
    <t>Michelle Yu Cc. Maria Girlie &amp; Irt Asia</t>
  </si>
  <si>
    <t>Martin Schulz/Susanne Elsborg-Jensen</t>
  </si>
  <si>
    <t>Susanne</t>
  </si>
  <si>
    <t>Martin Schulz/Nadine Beer</t>
  </si>
  <si>
    <t>Jens Pottschul/Michelle Yu</t>
  </si>
  <si>
    <t>Mary-Anne Chua/Christine Zheng</t>
  </si>
  <si>
    <t>Kerry Hirst</t>
  </si>
  <si>
    <t>Mette Karapetian / Susanne Elsborg-Jensen</t>
  </si>
  <si>
    <t>Susanne / Santiago</t>
  </si>
  <si>
    <t>IRTAsia/Maria Girlie</t>
  </si>
  <si>
    <t>6 Months</t>
  </si>
  <si>
    <t>9 Months</t>
  </si>
  <si>
    <t>1:1</t>
  </si>
  <si>
    <t>1:3</t>
  </si>
  <si>
    <t>1 cbm = 1000 kgs except for USA IPI rates  </t>
  </si>
  <si>
    <t>4 cbm per 1000 kgs</t>
  </si>
  <si>
    <t>1 cbm per 1000 kgs.</t>
  </si>
  <si>
    <t>1 CBM: 1000 kgs.</t>
  </si>
  <si>
    <t>Local Currency</t>
  </si>
  <si>
    <t>Usd</t>
  </si>
  <si>
    <t>Regional Account</t>
  </si>
  <si>
    <t>Negative Rates Are Accepted As Long As End To End Rates Remain Positive, As Per March 1St 2026, Ofr Validity Will Become Monthly.</t>
  </si>
  <si>
    <t>No Pre-Defined Eff: 1St Of Jan 2026
E-Inf - Maintained Separately In Bd Sheet, Combined In Rate Card Under "Landslide Surcharges"</t>
  </si>
  <si>
    <t>Demand From Chr Is To Submit 4 Business Days Prior Effective Date. / Customer Request That Pricing Be Adjusted Mid Term If There Are Large Fluctuation In Cost. Need To Notify Customer Of Lanes Changed And Reason.
Explanation Provided For The Change Submitted
E-Inf:
Global Application: Please Apply Usd $3 W/M For All Landside Movements.
This Amount Should Be Converted Into Local Currency Charges And Applied To Fob/Plc.
United Kingdom Application: Please Apply Usd $5 W/M For Exports &amp; Usd $3 W/M For Imports.
These Amounts Should Also Be Converted Into Local Currency Charges And Applied To Fob/Plc.
Usa Exception: Usa Is Exempt From This Exercise, As E-Inf Has Already Been Incorporated Into Fob/Plc.
Euro Countries: All Countries Invoicing Fob/Plc In Euro Should Apply Eur €3 W/M Instead Of Usd.
The Uk Remains Excluded From This Euro Application And Should Continue Applying E-Inf In Usd.</t>
  </si>
  <si>
    <t>Rates Are Transfered To Portrix. Hq Have An Issue With Too Many Updates Throughout The Month.</t>
  </si>
  <si>
    <t>Pre-Defined Fob/Plc</t>
  </si>
  <si>
    <t>Pre-Defined (Agreement)</t>
  </si>
  <si>
    <t>Pre-Defined Fob/Plc / Ofr Rates Valid For 3 Months. No Updates Locally Nor Updates In Global Tariff Allowed. Only Ems/Ecrs To Change Every Month
E-Inf - Updated By Sm For Us Location Only, For Rest Nap</t>
  </si>
  <si>
    <t/>
  </si>
  <si>
    <t>New Rate Card Effective 16Th June</t>
  </si>
  <si>
    <t>As Flexport Pull Our Rates Via Api We Can Reduce Only Locally As Long As Grdb Is Maintained So When Flexport Pull Api It Will Reflect Here As Well.</t>
  </si>
  <si>
    <t>Monthly Ofr Rates - Can Be Reduced But Needs To Be Displayed In The Grdb.</t>
  </si>
  <si>
    <t>Hellmann Does Not Accept Any Interim Updates.</t>
  </si>
  <si>
    <t>Any Reductions Must Be Shared, Filed, And Ensure Grdb Updated</t>
  </si>
  <si>
    <t>As Per March 1St 2026, Ofr Validity Will Become Monthly.</t>
  </si>
  <si>
    <t>Kwe Are Happy For Local Negotiaitons As Long As This Is Updated In The Next Viable Update. I.E In The Bi-Weekly Tariff Update. Would Also Like An Overview Of The Changes Made To Any Fob/Ofr/Plc Charges Which Are Reductions So They Are Able To Inform And Align With Local Offices.</t>
  </si>
  <si>
    <t>Pre-Defined Fob/Plc (Partial) / K&amp;N Does Not Accept Any Interim Updates.</t>
  </si>
  <si>
    <t>Accept Updates On Monthly Sweep</t>
  </si>
  <si>
    <t>Regional Account / Outbound Isc/Asia Fak Rate Card</t>
  </si>
  <si>
    <t>Na</t>
  </si>
  <si>
    <t>Member Update Through Grdb / Existing Monthly Rate Card (Grdb Data Download)</t>
  </si>
  <si>
    <t>New Rate Card Effective 1St June</t>
  </si>
  <si>
    <t>**2 Working Days Prior New Effective Date. / In Principle Yes, But The Client Woudl Still Like To Clarify Some Technical Aspects Which Needs To Be Considered</t>
  </si>
  <si>
    <t>Will Receive Reductions When Applicable, Grdb And Customer Tariff Need To Be Updated/Matching And Shared With Rim</t>
  </si>
  <si>
    <t>Regional Account / Client Requires Full Visibility Into Grdb. Scan Shipping Utilizing Wwa Online Portal For Spot Quote Processing Incl.Door-Door Where Possible.</t>
  </si>
  <si>
    <t>Any In- Or Decrease To Be Handled On A Local Level And To Be Updated Only Per The Next Update Cycle.</t>
  </si>
  <si>
    <t>Pre-Defined Fob/Plc
E-Inf - Added In Compensation Overview</t>
  </si>
  <si>
    <t>Ups Does Not Accept Any Interim Updates.</t>
  </si>
  <si>
    <t>Rates Valid For 3 Month. Rates Can Re Reduced Locally, But Yusen Needs To Be Informed What Is Changed Via Owner. Yusen Requested Advance Notification If/When Any Increases Are Pending.</t>
  </si>
  <si>
    <t>Yusen Europe Does Not Accept Any Interim Updates.</t>
  </si>
  <si>
    <t>20th of Month</t>
  </si>
  <si>
    <t>13th of Month</t>
  </si>
  <si>
    <t>26th of Month</t>
  </si>
  <si>
    <t>22nd of Month</t>
  </si>
  <si>
    <t>No</t>
  </si>
  <si>
    <t>Yes-Increase;
No-Decrease</t>
  </si>
  <si>
    <t>Yes (Except ECRS)</t>
  </si>
  <si>
    <t>Yes (E2E Rate Positive)</t>
  </si>
  <si>
    <t>Yes (Except OFR Surcharges)</t>
  </si>
  <si>
    <t>Yes (Except EDS/ESF)</t>
  </si>
  <si>
    <t>No (Except Rate Adjustment On Monthly)</t>
  </si>
  <si>
    <t>Yes</t>
  </si>
  <si>
    <t>Allowed</t>
  </si>
  <si>
    <t>Not Allowed</t>
  </si>
  <si>
    <t>USD/EUR</t>
  </si>
  <si>
    <t>Quote Separately For Class 2,4,5,6 And 3,8,9</t>
  </si>
  <si>
    <t>Quote Separately For Class 3,8,9</t>
  </si>
  <si>
    <t>General Cargo FAK, (Non HAZ)</t>
  </si>
  <si>
    <t>General Cargo FAK, (Non HAZ &amp; HAZ Class 3, 8, 9)</t>
  </si>
  <si>
    <t>General Cargo FAK, (Non HAZ &amp; HAZ Class 3,6,8,9)</t>
  </si>
  <si>
    <t>General Cargo FAK, (Non HAZ &amp; HAZ Class 2,4,5,6 &amp; 3,8,9)</t>
  </si>
  <si>
    <t>Excl. As Per Advisory</t>
  </si>
  <si>
    <t>Incl. In OFR</t>
  </si>
  <si>
    <t>All US Origins To All Destinations Worldwide USD 6.00 W/M, Intra Asia USD 3.00 W/M,  All Other Trade Lanes WW USD 7.00 W/M.</t>
  </si>
  <si>
    <t>GENERAL OVERVIEW</t>
  </si>
  <si>
    <t>Weekly</t>
  </si>
  <si>
    <t>LWS_PCS</t>
  </si>
  <si>
    <t>ETSS_FEMS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</si>
</sst>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21" x14ac:knownFonts="1">
    <font>
      <sz val="11"/>
      <color theme="1"/>
      <name val="Aptos Narrow"/>
      <family val="2"/>
      <scheme val="minor"/>
    </font>
    <font>
      <b/>
      <sz val="8"/>
      <color rgb="FFFFFFFF"/>
      <name val="Calibri"/>
      <family val="2"/>
    </font>
    <font>
      <sz val="8"/>
      <color theme="1"/>
      <name val="Calibri"/>
      <family val="2"/>
    </font>
    <font>
      <b/>
      <sz val="8"/>
      <color theme="1"/>
      <name val="Calibri"/>
      <family val="2"/>
    </font>
    <font>
      <b/>
      <sz val="8"/>
      <name val="Calibri"/>
      <family val="2"/>
    </font>
    <font>
      <b/>
      <sz val="8"/>
      <color rgb="FFC00000"/>
      <name val="Calibri"/>
      <family val="2"/>
    </font>
    <font>
      <sz val="8"/>
      <name val="Calibri"/>
      <family val="2"/>
    </font>
    <font>
      <sz val="8"/>
      <color rgb="FF000000"/>
      <name val="Calibri"/>
      <family val="2"/>
    </font>
    <font>
      <sz val="11"/>
      <color rgb="FF000000"/>
      <name val="Calibri"/>
      <family val="2"/>
    </font>
    <font>
      <sz val="8"/>
      <color theme="0"/>
      <name val="Calibri"/>
      <family val="2"/>
    </font>
    <font>
      <sz val="14"/>
      <color theme="1"/>
      <name val="Aptos Narrow"/>
      <family val="2"/>
      <scheme val="minor"/>
    </font>
    <font>
      <sz val="10"/>
      <color theme="1"/>
      <name val="Aptos Narrow"/>
      <family val="2"/>
      <scheme val="minor"/>
    </font>
    <font>
      <sz val="10"/>
      <name val="Aptos Narrow"/>
      <family val="2"/>
      <scheme val="minor"/>
    </font>
    <font>
      <b/>
      <sz val="12"/>
      <color theme="3"/>
      <name val="Calibri"/>
      <family val="2"/>
    </font>
    <font>
      <b/>
      <sz val="8"/>
      <color theme="0"/>
      <name val="Calibri"/>
      <family val="2"/>
    </font>
    <font>
      <b/>
      <sz val="8"/>
      <color rgb="FFFF0000"/>
      <name val="Calibri"/>
      <family val="2"/>
    </font>
    <font>
      <b/>
      <sz val="8"/>
      <color rgb="FF7030A0"/>
      <name val="Calibri"/>
      <family val="2"/>
    </font>
    <font>
      <b/>
      <sz val="9"/>
      <color theme="1"/>
      <name val="Calibri"/>
      <family val="2"/>
    </font>
    <font>
      <sz val="9"/>
      <color theme="1"/>
      <name val="Calibri"/>
      <family val="2"/>
    </font>
    <font>
      <u/>
      <sz val="9"/>
      <color rgb="FF0070C0"/>
      <name val="Calibri"/>
      <family val="2"/>
    </font>
    <font>
      <b/>
      <sz val="8"/>
      <color rgb="FFFFC000"/>
      <name val="Calibri"/>
      <family val="2"/>
    </font>
  </fonts>
  <fills count="17">
    <fill>
      <patternFill patternType="none"/>
    </fill>
    <fill>
      <patternFill patternType="gray125"/>
    </fill>
    <fill>
      <patternFill patternType="solid">
        <fgColor rgb="FF203764"/>
        <bgColor rgb="FF4A86E8"/>
      </patternFill>
    </fill>
    <fill>
      <patternFill patternType="solid">
        <fgColor theme="3" tint="0.749992370372631"/>
        <bgColor rgb="FF4A86E8"/>
      </patternFill>
    </fill>
    <fill>
      <patternFill patternType="solid">
        <fgColor rgb="FF002060"/>
        <bgColor rgb="FF000000"/>
      </patternFill>
    </fill>
    <fill>
      <patternFill patternType="solid">
        <fgColor theme="4" tint="0.79998168889431442"/>
        <bgColor rgb="FF4A86E8"/>
      </patternFill>
    </fill>
    <fill>
      <patternFill patternType="solid">
        <fgColor theme="0"/>
        <bgColor indexed="64"/>
      </patternFill>
    </fill>
    <fill>
      <patternFill patternType="solid">
        <fgColor theme="1" tint="4.9989318521683403E-2"/>
        <bgColor indexed="64"/>
      </patternFill>
    </fill>
    <fill>
      <patternFill patternType="solid">
        <fgColor theme="1" tint="0.34998626667073579"/>
        <bgColor indexed="64"/>
      </patternFill>
    </fill>
    <fill>
      <patternFill patternType="solid">
        <fgColor theme="5"/>
        <bgColor rgb="FF4A86E8"/>
      </patternFill>
    </fill>
    <fill>
      <patternFill patternType="solid">
        <fgColor rgb="FFC00000"/>
        <bgColor rgb="FF4A86E8"/>
      </patternFill>
    </fill>
    <fill>
      <patternFill patternType="solid">
        <fgColor rgb="FFFFFF00"/>
        <bgColor rgb="FF4A86E8"/>
      </patternFill>
    </fill>
    <fill>
      <patternFill patternType="solid">
        <fgColor theme="3" tint="0.89999084444715716"/>
        <bgColor rgb="FF4A86E8"/>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tint="-0.499984740745262"/>
        <bgColor indexed="64"/>
      </patternFill>
    </fill>
    <fill>
      <patternFill patternType="solid">
        <fgColor theme="1"/>
        <bgColor theme="0" tint="-0.14999847407452621"/>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top style="hair">
        <color theme="2" tint="-0.499984740745262"/>
      </top>
      <bottom style="hair">
        <color theme="2" tint="-0.49998474074526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hair">
        <color theme="2" tint="-0.499984740745262"/>
      </left>
      <right style="hair">
        <color theme="2" tint="-0.499984740745262"/>
      </right>
      <top/>
      <bottom style="hair">
        <color theme="2" tint="-0.49998474074526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116">
    <xf numFmtId="0" fontId="0" fillId="0" borderId="0" xfId="0"/>
    <xf numFmtId="0" fontId="1" fillId="2" borderId="1" xfId="0" applyFont="1" applyFill="1" applyBorder="1" applyAlignment="1">
      <alignment horizontal="left" vertical="top" wrapText="1"/>
    </xf>
    <xf numFmtId="0" fontId="2" fillId="0" borderId="0" xfId="0" applyFont="1"/>
    <xf numFmtId="0" fontId="3" fillId="0" borderId="0" xfId="0" applyFont="1"/>
    <xf numFmtId="164" fontId="1" fillId="2" borderId="1" xfId="0" applyNumberFormat="1" applyFont="1" applyFill="1" applyBorder="1" applyAlignment="1">
      <alignment horizontal="left" vertical="top" wrapText="1"/>
    </xf>
    <xf numFmtId="164" fontId="2" fillId="0" borderId="0" xfId="0" applyNumberFormat="1" applyFont="1"/>
    <xf numFmtId="0" fontId="3" fillId="0" borderId="1" xfId="0" applyFont="1" applyBorder="1" applyAlignment="1">
      <alignment horizontal="center" vertical="center"/>
    </xf>
    <xf numFmtId="0" fontId="2" fillId="0" borderId="1" xfId="0" applyFont="1" applyBorder="1" applyAlignment="1">
      <alignment horizontal="left"/>
    </xf>
    <xf numFmtId="164" fontId="2" fillId="0" borderId="1" xfId="0" applyNumberFormat="1" applyFont="1" applyBorder="1" applyAlignment="1">
      <alignment horizontal="left"/>
    </xf>
    <xf numFmtId="0" fontId="2" fillId="0" borderId="1" xfId="0" applyFont="1" applyBorder="1" applyAlignment="1">
      <alignment horizontal="left" wrapText="1"/>
    </xf>
    <xf numFmtId="0" fontId="3" fillId="0" borderId="0" xfId="0" applyFont="1" applyAlignment="1">
      <alignment horizontal="center" vertical="center"/>
    </xf>
    <xf numFmtId="14" fontId="3" fillId="0" borderId="0" xfId="0" applyNumberFormat="1" applyFont="1" applyAlignment="1">
      <alignment horizontal="center" vertical="center"/>
    </xf>
    <xf numFmtId="2" fontId="1" fillId="2" borderId="1" xfId="0" applyNumberFormat="1" applyFont="1" applyFill="1" applyBorder="1" applyAlignment="1">
      <alignment horizontal="left" vertical="top" wrapText="1"/>
    </xf>
    <xf numFmtId="2" fontId="2" fillId="0" borderId="1" xfId="0" applyNumberFormat="1" applyFont="1" applyBorder="1" applyAlignment="1">
      <alignment horizontal="left"/>
    </xf>
    <xf numFmtId="2" fontId="2" fillId="0" borderId="0" xfId="0" applyNumberFormat="1" applyFont="1"/>
    <xf numFmtId="0" fontId="4" fillId="3"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0" fillId="0" borderId="0" xfId="0" applyAlignment="1">
      <alignment horizontal="left" vertical="top" wrapText="1"/>
    </xf>
    <xf numFmtId="165" fontId="6" fillId="0" borderId="1" xfId="0" applyNumberFormat="1" applyFont="1" applyBorder="1" applyAlignment="1" applyProtection="1">
      <alignment horizontal="left" wrapText="1"/>
      <protection locked="0"/>
    </xf>
    <xf numFmtId="0" fontId="1" fillId="4" borderId="0" xfId="0" applyFont="1" applyFill="1" applyAlignment="1">
      <alignment horizontal="center" vertical="center"/>
    </xf>
    <xf numFmtId="0" fontId="7" fillId="0" borderId="0" xfId="0" applyFont="1"/>
    <xf numFmtId="0" fontId="7" fillId="4" borderId="0" xfId="0" applyFont="1" applyFill="1"/>
    <xf numFmtId="0" fontId="1" fillId="4" borderId="1" xfId="0" applyFont="1" applyFill="1" applyBorder="1" applyAlignment="1">
      <alignment horizontal="center" vertical="center"/>
    </xf>
    <xf numFmtId="0" fontId="7" fillId="0" borderId="1" xfId="0" applyFont="1" applyBorder="1"/>
    <xf numFmtId="0" fontId="6" fillId="0" borderId="1" xfId="0" applyFont="1" applyBorder="1"/>
    <xf numFmtId="0" fontId="8" fillId="0" borderId="0" xfId="0" applyFont="1"/>
    <xf numFmtId="0" fontId="4" fillId="5" borderId="1" xfId="0" applyFont="1" applyFill="1" applyBorder="1" applyAlignment="1">
      <alignment horizontal="left" vertical="top" wrapText="1"/>
    </xf>
    <xf numFmtId="2" fontId="0" fillId="0" borderId="0" xfId="0" applyNumberFormat="1"/>
    <xf numFmtId="0" fontId="2" fillId="0" borderId="1" xfId="0" applyFont="1" applyBorder="1"/>
    <xf numFmtId="0" fontId="2" fillId="6" borderId="1" xfId="0" applyFont="1" applyFill="1" applyBorder="1"/>
    <xf numFmtId="164" fontId="2" fillId="0" borderId="1" xfId="0" applyNumberFormat="1" applyFont="1" applyBorder="1"/>
    <xf numFmtId="164" fontId="2" fillId="6" borderId="1" xfId="0" applyNumberFormat="1" applyFont="1" applyFill="1" applyBorder="1" applyAlignment="1">
      <alignment horizontal="left"/>
    </xf>
    <xf numFmtId="0" fontId="2" fillId="6" borderId="1" xfId="0" applyFont="1" applyFill="1" applyBorder="1" applyAlignment="1">
      <alignment horizontal="left"/>
    </xf>
    <xf numFmtId="0" fontId="2" fillId="0" borderId="1" xfId="0" applyFont="1" applyBorder="1" applyAlignment="1">
      <alignment horizontal="left" vertical="top"/>
    </xf>
    <xf numFmtId="0" fontId="0" fillId="0" borderId="0" xfId="0" applyAlignment="1">
      <alignment wrapText="1"/>
    </xf>
    <xf numFmtId="14" fontId="3" fillId="0" borderId="1" xfId="0" applyNumberFormat="1" applyFont="1" applyBorder="1" applyAlignment="1">
      <alignment horizontal="left" vertical="top"/>
    </xf>
    <xf numFmtId="0" fontId="2" fillId="0" borderId="0" xfId="0" applyFont="1" applyAlignment="1">
      <alignment horizontal="left" vertical="top"/>
    </xf>
    <xf numFmtId="0" fontId="12" fillId="0" borderId="0" xfId="0" applyFont="1" applyAlignment="1">
      <alignment horizontal="left" vertical="top"/>
    </xf>
    <xf numFmtId="0" fontId="10"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center" vertical="top"/>
    </xf>
    <xf numFmtId="0" fontId="9" fillId="7" borderId="0" xfId="0" applyFont="1" applyFill="1" applyAlignment="1">
      <alignment horizontal="left" vertical="top"/>
    </xf>
    <xf numFmtId="0" fontId="9" fillId="7" borderId="0" xfId="0" applyFont="1" applyFill="1" applyAlignment="1">
      <alignment horizontal="left" vertical="top" wrapText="1"/>
    </xf>
    <xf numFmtId="0" fontId="9" fillId="8" borderId="0" xfId="0" applyFont="1" applyFill="1" applyAlignment="1">
      <alignment horizontal="left" vertical="top" wrapText="1"/>
    </xf>
    <xf numFmtId="0" fontId="9" fillId="8" borderId="0" xfId="0" applyFont="1" applyFill="1" applyAlignment="1">
      <alignment horizontal="center" vertical="top"/>
    </xf>
    <xf numFmtId="0" fontId="2" fillId="0" borderId="6" xfId="0" applyFont="1" applyBorder="1" applyAlignment="1">
      <alignment horizontal="left" vertical="top"/>
    </xf>
    <xf numFmtId="0" fontId="2" fillId="0" borderId="7" xfId="0" applyFont="1" applyBorder="1" applyAlignment="1">
      <alignment horizontal="left" vertical="top" wrapText="1"/>
    </xf>
    <xf numFmtId="0" fontId="2" fillId="0" borderId="8" xfId="0" applyFont="1" applyBorder="1" applyAlignment="1">
      <alignment horizontal="left" vertical="top"/>
    </xf>
    <xf numFmtId="15" fontId="2" fillId="0" borderId="8" xfId="0" applyNumberFormat="1" applyFont="1" applyBorder="1" applyAlignment="1">
      <alignment horizontal="left" vertical="top"/>
    </xf>
    <xf numFmtId="1" fontId="2" fillId="0" borderId="8" xfId="0" applyNumberFormat="1" applyFont="1" applyBorder="1" applyAlignment="1">
      <alignment horizontal="left" vertical="top"/>
    </xf>
    <xf numFmtId="0" fontId="2" fillId="0" borderId="8" xfId="0" applyFont="1" applyBorder="1" applyAlignment="1">
      <alignment horizontal="left" vertical="top" wrapText="1"/>
    </xf>
    <xf numFmtId="0" fontId="2" fillId="0" borderId="8" xfId="0" applyFont="1" applyBorder="1" applyAlignment="1">
      <alignment horizontal="center" vertical="top"/>
    </xf>
    <xf numFmtId="0" fontId="2" fillId="0" borderId="7" xfId="0" applyFont="1" applyBorder="1" applyAlignment="1">
      <alignment horizontal="left" vertical="top"/>
    </xf>
    <xf numFmtId="0" fontId="2" fillId="0" borderId="9" xfId="0" applyFont="1" applyBorder="1" applyAlignment="1">
      <alignment horizontal="left" vertical="top"/>
    </xf>
    <xf numFmtId="0" fontId="2" fillId="0" borderId="6" xfId="0" applyFont="1" applyBorder="1" applyAlignment="1">
      <alignment horizontal="left" vertical="top" wrapText="1"/>
    </xf>
    <xf numFmtId="0" fontId="6" fillId="0" borderId="6" xfId="0" applyFont="1" applyBorder="1" applyAlignment="1">
      <alignment horizontal="left" vertical="top"/>
    </xf>
    <xf numFmtId="0" fontId="6" fillId="0" borderId="7" xfId="0" applyFont="1" applyBorder="1" applyAlignment="1">
      <alignment horizontal="left" vertical="top"/>
    </xf>
    <xf numFmtId="0" fontId="6" fillId="0" borderId="8" xfId="0" applyFont="1" applyBorder="1" applyAlignment="1">
      <alignment horizontal="left" vertical="top"/>
    </xf>
    <xf numFmtId="15" fontId="6" fillId="0" borderId="8" xfId="0" applyNumberFormat="1" applyFont="1" applyBorder="1" applyAlignment="1">
      <alignment horizontal="left" vertical="top"/>
    </xf>
    <xf numFmtId="0" fontId="6" fillId="0" borderId="8" xfId="0" applyFont="1" applyBorder="1" applyAlignment="1">
      <alignment horizontal="left" vertical="top" wrapText="1"/>
    </xf>
    <xf numFmtId="0" fontId="6" fillId="0" borderId="6" xfId="0" applyFont="1" applyBorder="1" applyAlignment="1">
      <alignment horizontal="left" vertical="top" wrapText="1"/>
    </xf>
    <xf numFmtId="0" fontId="6" fillId="0" borderId="8" xfId="0" applyFont="1" applyBorder="1" applyAlignment="1">
      <alignment horizontal="center" vertical="top"/>
    </xf>
    <xf numFmtId="0" fontId="6" fillId="0" borderId="0" xfId="0" applyFont="1" applyAlignment="1">
      <alignment horizontal="left" vertical="top"/>
    </xf>
    <xf numFmtId="0" fontId="14" fillId="9" borderId="1" xfId="0" applyFont="1" applyFill="1" applyBorder="1" applyAlignment="1">
      <alignment horizontal="left" vertical="top" wrapText="1"/>
    </xf>
    <xf numFmtId="0" fontId="14" fillId="10" borderId="1" xfId="0" applyFont="1" applyFill="1" applyBorder="1" applyAlignment="1">
      <alignment horizontal="left" vertical="top" wrapText="1"/>
    </xf>
    <xf numFmtId="2" fontId="15" fillId="11" borderId="1" xfId="0" applyNumberFormat="1" applyFont="1" applyFill="1" applyBorder="1" applyAlignment="1">
      <alignment horizontal="left" vertical="top" wrapText="1"/>
    </xf>
    <xf numFmtId="0" fontId="2" fillId="0" borderId="0" xfId="0" applyFont="1" applyAlignment="1">
      <alignment wrapText="1"/>
    </xf>
    <xf numFmtId="0" fontId="1" fillId="2" borderId="1" xfId="0" applyFont="1" applyFill="1" applyBorder="1" applyAlignment="1">
      <alignment vertical="top" wrapText="1"/>
    </xf>
    <xf numFmtId="0" fontId="4" fillId="12" borderId="1" xfId="0" applyFont="1" applyFill="1" applyBorder="1" applyAlignment="1">
      <alignment vertical="top" wrapText="1"/>
    </xf>
    <xf numFmtId="0" fontId="4" fillId="3" borderId="1" xfId="0" applyFont="1" applyFill="1" applyBorder="1" applyAlignment="1">
      <alignment vertical="top" wrapText="1"/>
    </xf>
    <xf numFmtId="0" fontId="2" fillId="13" borderId="1" xfId="0" applyFont="1" applyFill="1" applyBorder="1"/>
    <xf numFmtId="164" fontId="2" fillId="13" borderId="1" xfId="0" applyNumberFormat="1" applyFont="1" applyFill="1" applyBorder="1" applyAlignment="1">
      <alignment horizontal="left"/>
    </xf>
    <xf numFmtId="0" fontId="2" fillId="13" borderId="1" xfId="0" applyFont="1" applyFill="1" applyBorder="1" applyAlignment="1">
      <alignment horizontal="left" vertical="top"/>
    </xf>
    <xf numFmtId="0" fontId="2" fillId="6" borderId="1" xfId="0" applyFont="1" applyFill="1" applyBorder="1" applyAlignment="1">
      <alignment horizontal="left" vertical="top"/>
    </xf>
    <xf numFmtId="0" fontId="2" fillId="13" borderId="1" xfId="0" applyFont="1" applyFill="1" applyBorder="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vertical="top" wrapText="1"/>
    </xf>
    <xf numFmtId="164" fontId="6" fillId="0" borderId="1" xfId="0" applyNumberFormat="1" applyFont="1" applyBorder="1" applyAlignment="1">
      <alignment horizontal="left" vertical="top"/>
    </xf>
    <xf numFmtId="2" fontId="6" fillId="0" borderId="1" xfId="0" applyNumberFormat="1" applyFont="1" applyBorder="1" applyAlignment="1">
      <alignment horizontal="left" vertical="top"/>
    </xf>
    <xf numFmtId="164" fontId="6" fillId="0" borderId="1" xfId="0" applyNumberFormat="1" applyFont="1" applyBorder="1" applyAlignment="1">
      <alignment horizontal="left" vertical="top" wrapText="1"/>
    </xf>
    <xf numFmtId="0" fontId="6" fillId="14" borderId="1" xfId="0" applyFont="1" applyFill="1" applyBorder="1" applyAlignment="1">
      <alignment horizontal="left" vertical="top"/>
    </xf>
    <xf numFmtId="49" fontId="6" fillId="0" borderId="1" xfId="0" applyNumberFormat="1" applyFont="1" applyBorder="1" applyAlignment="1">
      <alignment horizontal="left" vertical="top"/>
    </xf>
    <xf numFmtId="0" fontId="16" fillId="3" borderId="1" xfId="0" applyFont="1" applyFill="1" applyBorder="1" applyAlignment="1">
      <alignment vertical="top" wrapText="1"/>
    </xf>
    <xf numFmtId="0" fontId="3" fillId="0" borderId="4" xfId="0" applyFont="1" applyBorder="1" applyAlignment="1">
      <alignment horizontal="center" vertical="center"/>
    </xf>
    <xf numFmtId="0" fontId="17" fillId="0" borderId="0" xfId="0" applyFont="1"/>
    <xf numFmtId="0" fontId="18" fillId="0" borderId="0" xfId="0" applyFont="1"/>
    <xf numFmtId="0" fontId="18" fillId="0" borderId="0" xfId="0" applyFont="1" applyAlignment="1">
      <alignment horizontal="left" vertical="top"/>
    </xf>
    <xf numFmtId="0" fontId="19" fillId="0" borderId="0" xfId="0" applyFont="1" applyAlignment="1">
      <alignment horizontal="left" vertical="top" wrapText="1"/>
    </xf>
    <xf numFmtId="0" fontId="6" fillId="0" borderId="0" xfId="0" applyFont="1" applyAlignment="1">
      <alignment horizontal="left" vertical="top" wrapText="1"/>
    </xf>
    <xf numFmtId="49" fontId="6" fillId="0" borderId="1" xfId="0" applyNumberFormat="1" applyFont="1" applyBorder="1" applyAlignment="1">
      <alignment horizontal="left" vertical="top" wrapText="1"/>
    </xf>
    <xf numFmtId="0" fontId="6" fillId="0" borderId="2" xfId="0" applyFont="1" applyBorder="1" applyAlignment="1">
      <alignment horizontal="left" vertical="top" wrapText="1"/>
    </xf>
    <xf numFmtId="0" fontId="6" fillId="0" borderId="10" xfId="0" applyFont="1" applyBorder="1" applyAlignment="1">
      <alignment horizontal="left" vertical="top" wrapText="1"/>
    </xf>
    <xf numFmtId="49" fontId="6" fillId="0" borderId="10" xfId="0" applyNumberFormat="1" applyFont="1" applyBorder="1" applyAlignment="1">
      <alignment horizontal="left" vertical="top" wrapText="1"/>
    </xf>
    <xf numFmtId="0" fontId="6" fillId="0" borderId="13" xfId="0" applyFont="1" applyBorder="1" applyAlignment="1">
      <alignment horizontal="left" vertical="top" wrapText="1"/>
    </xf>
    <xf numFmtId="0" fontId="14" fillId="0" borderId="11" xfId="0" applyFont="1" applyBorder="1" applyAlignment="1">
      <alignment vertical="top" wrapText="1"/>
    </xf>
    <xf numFmtId="0" fontId="14" fillId="0" borderId="11" xfId="0" applyFont="1" applyBorder="1" applyAlignment="1">
      <alignment vertical="top"/>
    </xf>
    <xf numFmtId="0" fontId="14" fillId="0" borderId="12" xfId="0" applyFont="1" applyBorder="1" applyAlignment="1">
      <alignment vertical="top" wrapText="1"/>
    </xf>
    <xf numFmtId="164" fontId="6" fillId="0" borderId="10" xfId="0" applyNumberFormat="1" applyFont="1" applyBorder="1" applyAlignment="1">
      <alignment horizontal="left" vertical="top" wrapText="1"/>
    </xf>
    <xf numFmtId="0" fontId="14" fillId="15" borderId="11" xfId="0" applyFont="1" applyFill="1" applyBorder="1" applyAlignment="1">
      <alignment vertical="top" wrapText="1"/>
    </xf>
    <xf numFmtId="164" fontId="14" fillId="15" borderId="11" xfId="0" applyNumberFormat="1" applyFont="1" applyFill="1" applyBorder="1" applyAlignment="1">
      <alignment vertical="top" wrapText="1"/>
    </xf>
    <xf numFmtId="164" fontId="20" fillId="16" borderId="1" xfId="0" applyNumberFormat="1" applyFont="1" applyFill="1" applyBorder="1" applyAlignment="1">
      <alignment horizontal="center" vertical="center" wrapText="1"/>
    </xf>
    <xf numFmtId="1" fontId="6" fillId="0" borderId="1" xfId="0" applyNumberFormat="1" applyFont="1" applyBorder="1" applyAlignment="1">
      <alignment horizontal="left" vertical="top" wrapText="1"/>
    </xf>
    <xf numFmtId="1" fontId="6" fillId="0" borderId="10" xfId="0" applyNumberFormat="1"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2" fontId="3" fillId="0" borderId="2"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center"/>
    </xf>
    <xf numFmtId="0" fontId="13" fillId="0" borderId="5" xfId="0" applyFont="1" applyBorder="1" applyAlignment="1">
      <alignment horizontal="left" vertical="top"/>
    </xf>
    <xf numFmtId="0" fontId="7" fillId="0" borderId="0" xfId="0" applyFont="1"/>
  </cellXfs>
  <cellStyles count="1">
    <cellStyle name="Normal" xfId="0" builtinId="0"/>
  </cellStyles>
  <dxfs count="81">
    <dxf>
      <font>
        <color theme="0"/>
      </font>
      <fill>
        <patternFill>
          <bgColor rgb="FFFF0000"/>
        </patternFill>
      </fill>
    </dxf>
    <dxf>
      <font>
        <color theme="0"/>
      </font>
      <fill>
        <patternFill>
          <bgColor rgb="FFFF0000"/>
        </patternFill>
      </fill>
    </dxf>
    <dxf>
      <font>
        <color rgb="FF9C0006"/>
      </font>
      <fill>
        <patternFill>
          <bgColor rgb="FFFFC7CE"/>
        </patternFill>
      </fill>
    </dxf>
    <dxf>
      <fill>
        <patternFill>
          <bgColor rgb="FFFF0000"/>
        </patternFill>
      </fill>
    </dxf>
    <dxf>
      <fill>
        <patternFill>
          <bgColor theme="3" tint="0.89996032593768116"/>
        </patternFill>
      </fill>
    </dxf>
    <dxf>
      <fill>
        <patternFill>
          <bgColor theme="3" tint="0.89996032593768116"/>
        </patternFill>
      </fill>
    </dxf>
    <dxf>
      <fill>
        <patternFill>
          <bgColor rgb="FFFF0000"/>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ont>
        <color auto="1"/>
      </font>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ont>
        <color rgb="FF9C0006"/>
      </font>
      <fill>
        <patternFill>
          <bgColor rgb="FFFFC7CE"/>
        </patternFill>
      </fill>
    </dxf>
    <dxf>
      <font>
        <color rgb="FFFF0000"/>
      </font>
      <fill>
        <patternFill>
          <bgColor theme="5" tint="0.79998168889431442"/>
        </patternFill>
      </fill>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 formatCode="0"/>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numFmt numFmtId="164" formatCode="[$-409]d\-mmm\-yyyy;@"/>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Calibri"/>
        <family val="2"/>
        <scheme val="none"/>
      </font>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8"/>
        <color theme="0"/>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hipco-my.sharepoint.com/personal/srajguru_wwalliance_com/Documents/WWA%20TARIFF%20TIMELINE%20OVERVIEW/2026/JUN/WWA%20Rate%20card%20Timeline%20OFR%20surcharges%20overview%202026-MAY-29.xlsx" TargetMode="External"/><Relationship Id="rId1" Type="http://schemas.openxmlformats.org/officeDocument/2006/relationships/externalLinkPath" Target="https://shipco-my.sharepoint.com/personal/srajguru_wwalliance_com/Documents/WWA%20TARIFF%20TIMELINE%20OVERVIEW/2026/JUN/WWA%20Rate%20card%20Timeline%20OFR%20surcharges%20overview%202026-MAY-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WA Timelines "/>
      <sheetName val="NAC OFR surcharge overview"/>
      <sheetName val="FAK OFR surcharge overview"/>
      <sheetName val="Dropdown"/>
    </sheetNames>
    <sheetDataSet>
      <sheetData sheetId="0">
        <row r="1">
          <cell r="A1" t="str">
            <v>WWA ACCOUNT</v>
          </cell>
        </row>
        <row r="2">
          <cell r="A2" t="str">
            <v>A.HARTRODT</v>
          </cell>
        </row>
        <row r="3">
          <cell r="A3" t="str">
            <v>AIT (RA)</v>
          </cell>
        </row>
        <row r="4">
          <cell r="A4" t="str">
            <v>APL LOGISTICS</v>
          </cell>
        </row>
        <row r="5">
          <cell r="A5" t="str">
            <v>ARAMEX (RA)</v>
          </cell>
        </row>
        <row r="6">
          <cell r="A6" t="str">
            <v>BARSAN (RA)</v>
          </cell>
        </row>
        <row r="7">
          <cell r="A7" t="str">
            <v>BLUE WATER SHIPPING</v>
          </cell>
        </row>
        <row r="8">
          <cell r="A8" t="str">
            <v>CARGO PARTNER</v>
          </cell>
        </row>
        <row r="9">
          <cell r="A9" t="str">
            <v>CEVA</v>
          </cell>
        </row>
        <row r="10">
          <cell r="A10" t="str">
            <v>CH ROBINSON</v>
          </cell>
        </row>
        <row r="11">
          <cell r="A11" t="str">
            <v>CRANE WORLDWIDE</v>
          </cell>
        </row>
        <row r="12">
          <cell r="A12" t="str">
            <v>DACHSER (EXCL. INTRA ASIA)</v>
          </cell>
        </row>
        <row r="13">
          <cell r="A13" t="str">
            <v>DACHSER INTRA ASIA</v>
          </cell>
        </row>
        <row r="14">
          <cell r="A14" t="str">
            <v>DHL</v>
          </cell>
        </row>
        <row r="15">
          <cell r="A15" t="str">
            <v>DIMERCO (RA)</v>
          </cell>
        </row>
        <row r="16">
          <cell r="A16" t="str">
            <v>DP WORLD</v>
          </cell>
        </row>
        <row r="17">
          <cell r="A17" t="str">
            <v>DSV GLOBAL (RFQ &amp; NON-RFQ LANES)</v>
          </cell>
        </row>
        <row r="18">
          <cell r="A18" t="str">
            <v>EFL (RA)</v>
          </cell>
        </row>
        <row r="19">
          <cell r="A19" t="str">
            <v>EV CARGO (RA)</v>
          </cell>
        </row>
        <row r="20">
          <cell r="A20" t="str">
            <v>EXPEDITORS</v>
          </cell>
        </row>
        <row r="21">
          <cell r="A21" t="str">
            <v>FEDEXTRADE</v>
          </cell>
        </row>
        <row r="22">
          <cell r="A22" t="str">
            <v>FIBS (RA)</v>
          </cell>
        </row>
        <row r="23">
          <cell r="A23" t="str">
            <v>FIVE STAR (RA)</v>
          </cell>
        </row>
        <row r="24">
          <cell r="A24" t="str">
            <v>FLEXPORT</v>
          </cell>
        </row>
        <row r="25">
          <cell r="A25" t="str">
            <v>FRACHT</v>
          </cell>
        </row>
        <row r="26">
          <cell r="A26" t="str">
            <v>FR. MEYER'S SOHN (RA)</v>
          </cell>
        </row>
        <row r="27">
          <cell r="A27" t="str">
            <v>GEBR. WEISS</v>
          </cell>
        </row>
        <row r="28">
          <cell r="A28" t="str">
            <v>GEODIS</v>
          </cell>
        </row>
        <row r="29">
          <cell r="A29" t="str">
            <v>HANKYU (RA)</v>
          </cell>
        </row>
        <row r="30">
          <cell r="A30" t="str">
            <v>HELLMANN</v>
          </cell>
        </row>
        <row r="31">
          <cell r="A31" t="str">
            <v>HELLMANN INTRA ASIA</v>
          </cell>
        </row>
        <row r="32">
          <cell r="A32" t="str">
            <v>i-CONTAINERS (RA)</v>
          </cell>
        </row>
        <row r="33">
          <cell r="A33" t="str">
            <v>JAS OCEAN</v>
          </cell>
        </row>
        <row r="34">
          <cell r="A34" t="str">
            <v>KLN</v>
          </cell>
        </row>
        <row r="35">
          <cell r="A35" t="str">
            <v>KINTETSU</v>
          </cell>
        </row>
        <row r="36">
          <cell r="A36" t="str">
            <v>KUEHNE &amp; NAGEL</v>
          </cell>
        </row>
        <row r="37">
          <cell r="A37" t="str">
            <v>LESCHACO</v>
          </cell>
        </row>
        <row r="38">
          <cell r="A38" t="str">
            <v>LIGENTIA (RA)</v>
          </cell>
        </row>
        <row r="39">
          <cell r="A39" t="str">
            <v>LOGISTEED (RA)</v>
          </cell>
        </row>
        <row r="40">
          <cell r="A40" t="str">
            <v>LOGWIN</v>
          </cell>
        </row>
        <row r="41">
          <cell r="A41" t="str">
            <v>MAERSK LOGISTICS GLOBAL</v>
          </cell>
        </row>
        <row r="42">
          <cell r="A42" t="str">
            <v>MANUPORT LOGISTICS (RA)</v>
          </cell>
        </row>
        <row r="43">
          <cell r="A43" t="str">
            <v>MONDIALE VGL (RA)</v>
          </cell>
        </row>
        <row r="44">
          <cell r="A44" t="str">
            <v>MORRISON EXPRESS (RA)</v>
          </cell>
        </row>
        <row r="45">
          <cell r="A45" t="str">
            <v>NIPPON NX</v>
          </cell>
        </row>
        <row r="46">
          <cell r="A46" t="str">
            <v>NNR</v>
          </cell>
        </row>
        <row r="47">
          <cell r="A47" t="str">
            <v>NOATUM</v>
          </cell>
        </row>
        <row r="48">
          <cell r="A48" t="str">
            <v>NTG AIR &amp; OCEAN</v>
          </cell>
        </row>
        <row r="49">
          <cell r="A49" t="str">
            <v>OIA</v>
          </cell>
        </row>
        <row r="50">
          <cell r="A50" t="str">
            <v>PSA BDP</v>
          </cell>
        </row>
        <row r="51">
          <cell r="A51" t="str">
            <v>RHENUS</v>
          </cell>
        </row>
        <row r="52">
          <cell r="A52" t="str">
            <v>RIM LOGISTICS</v>
          </cell>
        </row>
        <row r="53">
          <cell r="A53" t="str">
            <v>ROHLIG</v>
          </cell>
        </row>
        <row r="54">
          <cell r="A54" t="str">
            <v>SAGAWA (RA)</v>
          </cell>
        </row>
        <row r="55">
          <cell r="A55" t="str">
            <v>SANTOVA (RA)</v>
          </cell>
        </row>
        <row r="56">
          <cell r="A56" t="str">
            <v>SCAN GLOBAL LOGISTICS</v>
          </cell>
        </row>
        <row r="57">
          <cell r="A57" t="str">
            <v>SCAN-SHIPPING (RA)</v>
          </cell>
        </row>
        <row r="58">
          <cell r="A58" t="str">
            <v>SDS SAMSUNG (RA)</v>
          </cell>
        </row>
        <row r="59">
          <cell r="A59" t="str">
            <v>SEKO</v>
          </cell>
        </row>
        <row r="60">
          <cell r="A60" t="str">
            <v>TOLL GLOBAL FORWARDING</v>
          </cell>
        </row>
        <row r="61">
          <cell r="A61" t="str">
            <v>UPS GLOBAL</v>
          </cell>
        </row>
        <row r="62">
          <cell r="A62" t="str">
            <v>XPD GLOBAL (RA)</v>
          </cell>
        </row>
        <row r="63">
          <cell r="A63" t="str">
            <v>YUSEN INTRA ASIA</v>
          </cell>
        </row>
        <row r="64">
          <cell r="A64" t="str">
            <v>YUSEN (USA) IMP/EXP</v>
          </cell>
        </row>
        <row r="65">
          <cell r="A65" t="str">
            <v>YUSEN EUROPE</v>
          </cell>
        </row>
        <row r="66">
          <cell r="A66" t="str">
            <v>YUSEN LATAM (IMPORT)</v>
          </cell>
        </row>
        <row r="67">
          <cell r="A67"/>
        </row>
        <row r="68">
          <cell r="A68"/>
        </row>
      </sheetData>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5B9ED0-4AA6-4EB0-96D5-57C78691466C}" name="Table1" displayName="Table1" ref="A2:AT54" totalsRowShown="0" headerRowDxfId="80" dataDxfId="78" headerRowBorderDxfId="79" tableBorderDxfId="77" totalsRowBorderDxfId="76">
  <autoFilter ref="A2:AT54" xr:uid="{BA5B9ED0-4AA6-4EB0-96D5-57C78691466C}"/>
  <tableColumns count="46">
    <tableColumn id="2" xr3:uid="{B017A19D-E433-47A3-80EE-F858C31EC12A}" name="WWA CUSTOMER" dataDxfId="75"/>
    <tableColumn id="46" xr3:uid="{CBADBCF8-20F1-4795-AD14-DE1A4B559401}" name="FREQUENCY_x000a_(FOB/PLC)" dataDxfId="74"/>
    <tableColumn id="45" xr3:uid="{8D2C9717-0A3C-4AFE-9847-82BC73BEA02D}" name="FREQUENCY_x000a_(OFR)" dataDxfId="73"/>
    <tableColumn id="44" xr3:uid="{B74F3E76-B2BA-4A89-8B30-35AE65D802D7}" name="FREQUENCY_x000a_(OFR SURCHARGES)" dataDxfId="72"/>
    <tableColumn id="43" xr3:uid="{9D9D7DBE-28C6-408C-8835-B4B866503E80}" name="FOB/PLC VALIDITY EFFECTIVE DATE" dataDxfId="71"/>
    <tableColumn id="42" xr3:uid="{4E5116B1-D9FE-4097-9DB1-F916109D6E11}" name="FOB/PLC VALIDITY EXPIRY DATE " dataDxfId="70"/>
    <tableColumn id="41" xr3:uid="{08001E91-A6BB-496F-A6FB-8C8539345150}" name="OFR VALIDITY EFFECTIVE DATE" dataDxfId="69"/>
    <tableColumn id="40" xr3:uid="{FAFA5BE2-CFC7-4812-BC0B-C76679E1C3F9}" name="OFR VALIDITY EXPIRY DATE " dataDxfId="68"/>
    <tableColumn id="48" xr3:uid="{FC961E39-4458-4C19-813A-5EAF5B4457AD}" name="FOB/PLC FOLLOW-UP" dataDxfId="67">
      <calculatedColumnFormula>IFERROR(NETWORKDAYS($A$1,Table1[[#This Row],[FOB/PLC VALIDITY EXPIRY DATE ]]),"-")</calculatedColumnFormula>
    </tableColumn>
    <tableColumn id="47" xr3:uid="{3CC540A0-F3CC-4271-B49D-B4A087205BB1}" name="OFR FOLLOW-UP" dataDxfId="66">
      <calculatedColumnFormula>IFERROR(NETWORKDAYS($A$1,Table1[[#This Row],[OFR VALIDITY EXPIRY DATE ]]),"-")</calculatedColumnFormula>
    </tableColumn>
    <tableColumn id="4" xr3:uid="{04C3644A-9D3E-4F4B-A9A8-10AD6BD90C2A}" name="UPDATE TYPE" dataDxfId="65"/>
    <tableColumn id="5" xr3:uid="{A1D73192-F080-4D44-8271-94CFB2D037BA}" name="HANDLE VIA" dataDxfId="64"/>
    <tableColumn id="6" xr3:uid="{721C373E-035A-45CF-92E5-8DA541A2C41F}" name="GLOBAL/REGIONAL ACCOUNT OWNER" dataDxfId="63"/>
    <tableColumn id="7" xr3:uid="{25488ED0-8381-43D8-99E4-3D40C0262DAB}" name="RFQ OWNER" dataDxfId="62"/>
    <tableColumn id="8" xr3:uid="{94420EF2-B083-4817-9093-C665B7F3E051}" name="SOLAS" dataDxfId="61"/>
    <tableColumn id="9" xr3:uid="{4E330E15-A894-4C85-BAAE-2459FB6D5019}" name="FILING" dataDxfId="60"/>
    <tableColumn id="10" xr3:uid="{013BCFBE-1740-4609-B87A-38D47A6027FB}" name="MANDATORY ICS2 ADMIN FEE" dataDxfId="59"/>
    <tableColumn id="11" xr3:uid="{3E567EB1-3B9A-40EE-9068-4D62D9806C4C}" name="CONDITIONAL ICS2 FILING FEE" dataDxfId="58"/>
    <tableColumn id="12" xr3:uid="{E9900B87-EEE5-4369-8EBD-A81488190D74}" name="ORIGIN E-INF" dataDxfId="57"/>
    <tableColumn id="13" xr3:uid="{C6C429A0-7BB9-4E4B-8BBC-5F111CB93A30}" name="DESTINATION E-INF" dataDxfId="56"/>
    <tableColumn id="14" xr3:uid="{02C18FA3-B395-4D69-A059-92E5270AD7A7}" name="MPCI FILING FEE" dataDxfId="55"/>
    <tableColumn id="15" xr3:uid="{9D956C7C-612A-41B1-8DCF-84BC73CB79AC}" name="IMO2020" dataDxfId="54"/>
    <tableColumn id="16" xr3:uid="{4F88130F-3FB2-4CE0-9093-AA4D8747D946}" name="GRI" dataDxfId="53"/>
    <tableColumn id="17" xr3:uid="{1B29FF1F-3BF2-4E55-B6EB-6A341B42A8AB}" name="ETSS_FEMS" dataDxfId="52"/>
    <tableColumn id="18" xr3:uid="{952C5811-840F-4CDD-90F7-1F4D5F7CE7BA}" name="ESF" dataDxfId="51"/>
    <tableColumn id="19" xr3:uid="{46212BCB-EE70-482E-8B98-64D7563D11D5}" name="E-PSS" dataDxfId="50"/>
    <tableColumn id="20" xr3:uid="{31600E0A-3A64-4ACF-848A-CD3D31E5AFDB}" name="LWS_PCS" dataDxfId="49"/>
    <tableColumn id="21" xr3:uid="{74A02A86-C175-4C58-A175-73A2760FEB51}" name="E-BAF" dataDxfId="48"/>
    <tableColumn id="22" xr3:uid="{BEA425F9-1794-48CA-B3DA-09739BB4A96C}" name="WRS" dataDxfId="47"/>
    <tableColumn id="23" xr3:uid="{2A37C346-7CA8-4478-B5AD-C55C693F98FF}" name="HAZ" dataDxfId="46"/>
    <tableColumn id="24" xr3:uid="{6B52AD40-6853-4172-977C-E6FD2BEF4FF3}" name="3RD PARTY CFS" dataDxfId="45"/>
    <tableColumn id="25" xr3:uid="{7EDA2A29-9C81-4AA2-8EBE-590EDAD112C7}" name="NON-STACKABLE" dataDxfId="44"/>
    <tableColumn id="26" xr3:uid="{3C1B9C1A-5797-45C8-9DF8-63429D77F200}" name="STORAGE FREE DAYS" dataDxfId="43"/>
    <tableColumn id="27" xr3:uid="{83E37F06-E3AB-4322-87EB-57AA6E8F2FBF}" name="STORAGE CHARGES" dataDxfId="42"/>
    <tableColumn id="28" xr3:uid="{F0508549-1E97-4B1F-8C7D-8439C1FF8225}" name="BMSB" dataDxfId="41"/>
    <tableColumn id="29" xr3:uid="{68ED160A-2328-47EF-85C2-2E09F560645E}" name="Commodity" dataDxfId="40"/>
    <tableColumn id="30" xr3:uid="{D527B7CA-5D04-4888-B64E-6B9B4B7F7A0A}" name="Cargo Ratio" dataDxfId="39"/>
    <tableColumn id="31" xr3:uid="{231E5F18-CB01-4A36-96FE-E8CD8400B315}" name="Currency_x000a_(FOB-PLC)" dataDxfId="38"/>
    <tableColumn id="32" xr3:uid="{CA4E12C8-40A6-4C58-A504-78211AAFF169}" name="Currency_x000a_(OFR)" dataDxfId="37"/>
    <tableColumn id="33" xr3:uid="{6F82C457-4DE5-47DE-86E1-0DB3A598CBE4}" name="ALTERNATIVE CFS" dataDxfId="36"/>
    <tableColumn id="34" xr3:uid="{35B44698-F6FC-4CB0-BF76-A0C86C9F5B01}" name="NEGATIVE RATES ACCEPTED (Y/N)" dataDxfId="35"/>
    <tableColumn id="35" xr3:uid="{71010638-5C0F-4C18-AFE5-BF881EBDA24F}" name="APPROVAL NEEDED FOR OFF CYCLE UPDATE" dataDxfId="34"/>
    <tableColumn id="36" xr3:uid="{58A15920-5AE7-4A01-A7D8-F405069A1978}" name="SUBMISSION BEFORE EFFECTIVE DATE" dataDxfId="33"/>
    <tableColumn id="37" xr3:uid="{0A851A6A-FE8F-45BA-80D0-3C294A7646B5}" name="DIRECT SHARING WITH MEMBERS (Y/N)" dataDxfId="32"/>
    <tableColumn id="38" xr3:uid="{B8287E69-8152-4EB0-8BB1-0E88D807C82C}" name="(NON) CENTRALIZED" dataDxfId="31"/>
    <tableColumn id="39" xr3:uid="{CD12CC45-B40A-4298-9F18-ACBD6016F0B7}" name="OWNER COMMENTS (IF ANY)" dataDxfId="3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10AB-E158-4E15-8A54-3601FC1276C5}">
  <sheetPr filterMode="1">
    <tabColor theme="3" tint="0.749992370372631"/>
  </sheetPr>
  <dimension ref="A1:AC54"/>
  <sheetViews>
    <sheetView showGridLines="0" topLeftCell="B1" zoomScaleNormal="100" workbookViewId="0">
      <pane ySplit="2" topLeftCell="A3" activePane="bottomLeft" state="frozen"/>
      <selection pane="bottomLeft" activeCell="F57" sqref="F57"/>
    </sheetView>
  </sheetViews>
  <sheetFormatPr defaultRowHeight="11.25" x14ac:dyDescent="0.2"/>
  <cols>
    <col min="1" max="3" width="9.140625" style="2"/>
    <col min="4" max="4" width="19.85546875" style="2" bestFit="1" customWidth="1"/>
    <col min="5" max="5" width="26" style="2" customWidth="1"/>
    <col min="6" max="6" width="21.5703125" style="2" customWidth="1"/>
    <col min="7" max="8" width="11.140625" style="2" customWidth="1"/>
    <col min="9" max="9" width="15.85546875" style="2" customWidth="1"/>
    <col min="10" max="10" width="12.28515625" style="5" customWidth="1"/>
    <col min="11" max="11" width="12.140625" style="5" customWidth="1"/>
    <col min="12" max="17" width="12.28515625" style="5" customWidth="1"/>
    <col min="18" max="25" width="22.28515625" style="2" customWidth="1"/>
    <col min="26" max="26" width="19.42578125" style="2" customWidth="1"/>
    <col min="27" max="28" width="11.140625" style="14" bestFit="1" customWidth="1"/>
    <col min="29" max="16384" width="9.140625" style="2"/>
  </cols>
  <sheetData>
    <row r="1" spans="1:29" s="10" customFormat="1" ht="15" customHeight="1" x14ac:dyDescent="0.25">
      <c r="B1" s="6" t="s">
        <v>1267</v>
      </c>
      <c r="C1" s="6" t="s">
        <v>1270</v>
      </c>
      <c r="D1" s="6" t="s">
        <v>0</v>
      </c>
      <c r="E1" s="109" t="s">
        <v>1</v>
      </c>
      <c r="F1" s="109"/>
      <c r="G1" s="109" t="s">
        <v>2</v>
      </c>
      <c r="H1" s="109"/>
      <c r="I1" s="109"/>
      <c r="J1" s="109"/>
      <c r="K1" s="109"/>
      <c r="L1" s="109"/>
      <c r="M1" s="109"/>
      <c r="N1" s="106" t="s">
        <v>1336</v>
      </c>
      <c r="O1" s="107"/>
      <c r="P1" s="107"/>
      <c r="Q1" s="108"/>
      <c r="R1" s="106" t="s">
        <v>3</v>
      </c>
      <c r="S1" s="107"/>
      <c r="T1" s="107"/>
      <c r="U1" s="107"/>
      <c r="V1" s="107"/>
      <c r="W1" s="107"/>
      <c r="X1" s="107"/>
      <c r="Y1" s="107"/>
      <c r="Z1" s="107"/>
      <c r="AA1" s="110" t="s">
        <v>4</v>
      </c>
      <c r="AB1" s="111"/>
      <c r="AC1" s="11">
        <v>46132</v>
      </c>
    </row>
    <row r="2" spans="1:29" ht="80.25" customHeight="1" x14ac:dyDescent="0.2">
      <c r="B2" s="1" t="s">
        <v>1268</v>
      </c>
      <c r="C2" s="1" t="s">
        <v>1271</v>
      </c>
      <c r="D2" s="1" t="s">
        <v>5</v>
      </c>
      <c r="E2" s="1" t="s">
        <v>6</v>
      </c>
      <c r="F2" s="1" t="s">
        <v>7</v>
      </c>
      <c r="G2" s="1" t="s">
        <v>8</v>
      </c>
      <c r="H2" s="1" t="s">
        <v>9</v>
      </c>
      <c r="I2" s="1" t="s">
        <v>10</v>
      </c>
      <c r="J2" s="4" t="s">
        <v>1266</v>
      </c>
      <c r="K2" s="4" t="s">
        <v>11</v>
      </c>
      <c r="L2" s="4" t="s">
        <v>12</v>
      </c>
      <c r="M2" s="4" t="s">
        <v>13</v>
      </c>
      <c r="N2" s="85" t="s">
        <v>1334</v>
      </c>
      <c r="O2" s="85" t="s">
        <v>1335</v>
      </c>
      <c r="P2" s="85" t="s">
        <v>1342</v>
      </c>
      <c r="Q2" s="85" t="s">
        <v>1343</v>
      </c>
      <c r="R2" s="15" t="s">
        <v>14</v>
      </c>
      <c r="S2" s="15" t="s">
        <v>15</v>
      </c>
      <c r="T2" s="15" t="s">
        <v>16</v>
      </c>
      <c r="U2" s="15" t="s">
        <v>17</v>
      </c>
      <c r="V2" s="15" t="s">
        <v>18</v>
      </c>
      <c r="W2" s="15" t="s">
        <v>19</v>
      </c>
      <c r="X2" s="15" t="s">
        <v>20</v>
      </c>
      <c r="Y2" s="15" t="s">
        <v>21</v>
      </c>
      <c r="Z2" s="16" t="s">
        <v>22</v>
      </c>
      <c r="AA2" s="12" t="s">
        <v>23</v>
      </c>
      <c r="AB2" s="12" t="s">
        <v>24</v>
      </c>
    </row>
    <row r="3" spans="1:29" s="65" customFormat="1" ht="33.75" hidden="1" x14ac:dyDescent="0.25">
      <c r="A3" s="65" t="str">
        <f>VLOOKUP(D3,'[1]WWA Timelines '!$A:$A,1,0)</f>
        <v>AIT (RA)</v>
      </c>
      <c r="B3" s="78" t="s">
        <v>296</v>
      </c>
      <c r="C3" s="78" t="s">
        <v>1272</v>
      </c>
      <c r="D3" s="78" t="s">
        <v>28</v>
      </c>
      <c r="E3" s="78" t="s">
        <v>1326</v>
      </c>
      <c r="F3" s="78" t="s">
        <v>181</v>
      </c>
      <c r="G3" s="78" t="s">
        <v>31</v>
      </c>
      <c r="H3" s="78" t="s">
        <v>31</v>
      </c>
      <c r="I3" s="79" t="s">
        <v>1281</v>
      </c>
      <c r="J3" s="80">
        <v>46143</v>
      </c>
      <c r="K3" s="80">
        <v>46387</v>
      </c>
      <c r="L3" s="80">
        <v>46143</v>
      </c>
      <c r="M3" s="80">
        <v>46387</v>
      </c>
      <c r="N3" s="80"/>
      <c r="O3" s="80"/>
      <c r="P3" s="80"/>
      <c r="Q3" s="80"/>
      <c r="R3" s="78" t="s">
        <v>33</v>
      </c>
      <c r="S3" s="78" t="s">
        <v>33</v>
      </c>
      <c r="T3" s="78" t="s">
        <v>33</v>
      </c>
      <c r="U3" s="78" t="s">
        <v>34</v>
      </c>
      <c r="V3" s="78" t="s">
        <v>34</v>
      </c>
      <c r="W3" s="78" t="s">
        <v>34</v>
      </c>
      <c r="X3" s="78" t="s">
        <v>34</v>
      </c>
      <c r="Y3" s="78" t="s">
        <v>32</v>
      </c>
      <c r="Z3" s="78"/>
      <c r="AA3" s="81">
        <f t="shared" ref="AA3:AA35" si="0">IFERROR(NETWORKDAYS(K3,$AC$1),"-")</f>
        <v>-184</v>
      </c>
      <c r="AB3" s="81">
        <f t="shared" ref="AB3:AB35" si="1">IFERROR(NETWORKDAYS(M3,$AC$1),"-")</f>
        <v>-184</v>
      </c>
    </row>
    <row r="4" spans="1:29" s="65" customFormat="1" hidden="1" x14ac:dyDescent="0.25">
      <c r="A4" s="65" t="str">
        <f>VLOOKUP(D4,'[1]WWA Timelines '!$A:$A,1,0)</f>
        <v>APL LOGISTICS</v>
      </c>
      <c r="B4" s="78" t="s">
        <v>1269</v>
      </c>
      <c r="C4" s="78" t="s">
        <v>1273</v>
      </c>
      <c r="D4" s="78" t="s">
        <v>35</v>
      </c>
      <c r="E4" s="78" t="s">
        <v>1303</v>
      </c>
      <c r="F4" s="78" t="s">
        <v>37</v>
      </c>
      <c r="G4" s="78" t="s">
        <v>38</v>
      </c>
      <c r="H4" s="78" t="s">
        <v>38</v>
      </c>
      <c r="I4" s="78" t="s">
        <v>39</v>
      </c>
      <c r="J4" s="80">
        <v>46204</v>
      </c>
      <c r="K4" s="80">
        <v>46295</v>
      </c>
      <c r="L4" s="80">
        <v>46204</v>
      </c>
      <c r="M4" s="80">
        <v>46295</v>
      </c>
      <c r="N4" s="80" t="s">
        <v>32</v>
      </c>
      <c r="O4" s="80" t="s">
        <v>32</v>
      </c>
      <c r="P4" s="80"/>
      <c r="Q4" s="80"/>
      <c r="R4" s="78" t="s">
        <v>38</v>
      </c>
      <c r="S4" s="78" t="s">
        <v>39</v>
      </c>
      <c r="T4" s="78" t="s">
        <v>38</v>
      </c>
      <c r="U4" s="78" t="s">
        <v>39</v>
      </c>
      <c r="V4" s="78" t="s">
        <v>39</v>
      </c>
      <c r="W4" s="78" t="s">
        <v>39</v>
      </c>
      <c r="X4" s="78" t="s">
        <v>39</v>
      </c>
      <c r="Y4" s="78" t="s">
        <v>32</v>
      </c>
      <c r="Z4" s="78"/>
      <c r="AA4" s="81">
        <f t="shared" si="0"/>
        <v>-118</v>
      </c>
      <c r="AB4" s="81">
        <f t="shared" si="1"/>
        <v>-118</v>
      </c>
    </row>
    <row r="5" spans="1:29" s="65" customFormat="1" ht="33.75" hidden="1" x14ac:dyDescent="0.25">
      <c r="A5" s="65" t="str">
        <f>VLOOKUP(D5,'[1]WWA Timelines '!$A:$A,1,0)</f>
        <v>ARAMEX (RA)</v>
      </c>
      <c r="B5" s="78" t="s">
        <v>296</v>
      </c>
      <c r="C5" s="78" t="s">
        <v>1274</v>
      </c>
      <c r="D5" s="78" t="s">
        <v>40</v>
      </c>
      <c r="E5" s="78" t="s">
        <v>1304</v>
      </c>
      <c r="F5" s="78" t="s">
        <v>37</v>
      </c>
      <c r="G5" s="78" t="s">
        <v>31</v>
      </c>
      <c r="H5" s="78" t="s">
        <v>41</v>
      </c>
      <c r="I5" s="79" t="s">
        <v>1281</v>
      </c>
      <c r="J5" s="80">
        <v>46023</v>
      </c>
      <c r="K5" s="80">
        <v>46387</v>
      </c>
      <c r="L5" s="80">
        <v>46174</v>
      </c>
      <c r="M5" s="80">
        <v>46203</v>
      </c>
      <c r="N5" s="80"/>
      <c r="O5" s="80"/>
      <c r="P5" s="80"/>
      <c r="Q5" s="80"/>
      <c r="R5" s="78" t="s">
        <v>33</v>
      </c>
      <c r="S5" s="78" t="s">
        <v>33</v>
      </c>
      <c r="T5" s="78" t="s">
        <v>33</v>
      </c>
      <c r="U5" s="78" t="s">
        <v>34</v>
      </c>
      <c r="V5" s="78" t="s">
        <v>34</v>
      </c>
      <c r="W5" s="78" t="s">
        <v>34</v>
      </c>
      <c r="X5" s="78" t="s">
        <v>34</v>
      </c>
      <c r="Y5" s="78" t="s">
        <v>32</v>
      </c>
      <c r="Z5" s="79" t="s">
        <v>47</v>
      </c>
      <c r="AA5" s="81">
        <f t="shared" si="0"/>
        <v>-184</v>
      </c>
      <c r="AB5" s="81">
        <f t="shared" si="1"/>
        <v>-52</v>
      </c>
    </row>
    <row r="6" spans="1:29" s="65" customFormat="1" ht="33.75" hidden="1" x14ac:dyDescent="0.25">
      <c r="A6" s="65" t="str">
        <f>VLOOKUP(D6,'[1]WWA Timelines '!$A:$A,1,0)</f>
        <v>BARSAN (RA)</v>
      </c>
      <c r="B6" s="78" t="s">
        <v>296</v>
      </c>
      <c r="C6" s="78" t="s">
        <v>1274</v>
      </c>
      <c r="D6" s="78" t="s">
        <v>42</v>
      </c>
      <c r="E6" s="78" t="s">
        <v>1305</v>
      </c>
      <c r="F6" s="78" t="s">
        <v>181</v>
      </c>
      <c r="G6" s="78" t="s">
        <v>31</v>
      </c>
      <c r="H6" s="78" t="s">
        <v>41</v>
      </c>
      <c r="I6" s="79" t="s">
        <v>1281</v>
      </c>
      <c r="J6" s="80">
        <v>46023</v>
      </c>
      <c r="K6" s="80">
        <v>46387</v>
      </c>
      <c r="L6" s="80">
        <v>46174</v>
      </c>
      <c r="M6" s="80">
        <v>46203</v>
      </c>
      <c r="N6" s="80"/>
      <c r="O6" s="80"/>
      <c r="P6" s="80"/>
      <c r="Q6" s="80"/>
      <c r="R6" s="78" t="s">
        <v>33</v>
      </c>
      <c r="S6" s="78" t="s">
        <v>33</v>
      </c>
      <c r="T6" s="78" t="s">
        <v>33</v>
      </c>
      <c r="U6" s="78" t="s">
        <v>34</v>
      </c>
      <c r="V6" s="78" t="s">
        <v>34</v>
      </c>
      <c r="W6" s="78" t="s">
        <v>34</v>
      </c>
      <c r="X6" s="78" t="s">
        <v>34</v>
      </c>
      <c r="Y6" s="78" t="s">
        <v>44</v>
      </c>
      <c r="Z6" s="79" t="s">
        <v>47</v>
      </c>
      <c r="AA6" s="81">
        <f t="shared" si="0"/>
        <v>-184</v>
      </c>
      <c r="AB6" s="81">
        <f t="shared" si="1"/>
        <v>-52</v>
      </c>
    </row>
    <row r="7" spans="1:29" s="65" customFormat="1" ht="33.75" hidden="1" x14ac:dyDescent="0.25">
      <c r="A7" s="65" t="str">
        <f>VLOOKUP(D7,'[1]WWA Timelines '!$A:$A,1,0)</f>
        <v>CARGO PARTNER</v>
      </c>
      <c r="B7" s="78" t="s">
        <v>1269</v>
      </c>
      <c r="C7" s="78" t="s">
        <v>1272</v>
      </c>
      <c r="D7" s="78" t="s">
        <v>45</v>
      </c>
      <c r="E7" s="78" t="s">
        <v>1306</v>
      </c>
      <c r="F7" s="78" t="s">
        <v>214</v>
      </c>
      <c r="G7" s="78" t="s">
        <v>31</v>
      </c>
      <c r="H7" s="78" t="s">
        <v>41</v>
      </c>
      <c r="I7" s="79" t="s">
        <v>1281</v>
      </c>
      <c r="J7" s="80">
        <v>46023</v>
      </c>
      <c r="K7" s="80">
        <v>46387</v>
      </c>
      <c r="L7" s="80">
        <v>46174</v>
      </c>
      <c r="M7" s="80">
        <v>46203</v>
      </c>
      <c r="N7" s="80" t="s">
        <v>32</v>
      </c>
      <c r="O7" s="80" t="s">
        <v>32</v>
      </c>
      <c r="P7" s="80"/>
      <c r="Q7" s="80"/>
      <c r="R7" s="78" t="s">
        <v>33</v>
      </c>
      <c r="S7" s="78" t="s">
        <v>33</v>
      </c>
      <c r="T7" s="78" t="s">
        <v>33</v>
      </c>
      <c r="U7" s="78" t="s">
        <v>34</v>
      </c>
      <c r="V7" s="78" t="s">
        <v>34</v>
      </c>
      <c r="W7" s="78" t="s">
        <v>34</v>
      </c>
      <c r="X7" s="78" t="s">
        <v>34</v>
      </c>
      <c r="Y7" s="78" t="s">
        <v>32</v>
      </c>
      <c r="Z7" s="79" t="s">
        <v>47</v>
      </c>
      <c r="AA7" s="81">
        <f t="shared" si="0"/>
        <v>-184</v>
      </c>
      <c r="AB7" s="81">
        <f t="shared" si="1"/>
        <v>-52</v>
      </c>
    </row>
    <row r="8" spans="1:29" s="65" customFormat="1" ht="33.75" hidden="1" x14ac:dyDescent="0.25">
      <c r="A8" s="65" t="str">
        <f>VLOOKUP(D8,'[1]WWA Timelines '!$A:$A,1,0)</f>
        <v>CEVA</v>
      </c>
      <c r="B8" s="78" t="s">
        <v>1269</v>
      </c>
      <c r="C8" s="78" t="s">
        <v>1275</v>
      </c>
      <c r="D8" s="78" t="s">
        <v>48</v>
      </c>
      <c r="E8" s="78" t="s">
        <v>1308</v>
      </c>
      <c r="F8" s="78" t="s">
        <v>1309</v>
      </c>
      <c r="G8" s="78" t="s">
        <v>31</v>
      </c>
      <c r="H8" s="78" t="s">
        <v>31</v>
      </c>
      <c r="I8" s="78" t="s">
        <v>39</v>
      </c>
      <c r="J8" s="80">
        <v>46023</v>
      </c>
      <c r="K8" s="80">
        <v>46387</v>
      </c>
      <c r="L8" s="80">
        <v>46082</v>
      </c>
      <c r="M8" s="80">
        <v>46387</v>
      </c>
      <c r="N8" s="80" t="s">
        <v>32</v>
      </c>
      <c r="O8" s="80" t="s">
        <v>32</v>
      </c>
      <c r="P8" s="80"/>
      <c r="Q8" s="80"/>
      <c r="R8" s="78" t="s">
        <v>33</v>
      </c>
      <c r="S8" s="78" t="s">
        <v>33</v>
      </c>
      <c r="T8" s="78" t="s">
        <v>33</v>
      </c>
      <c r="U8" s="78" t="s">
        <v>39</v>
      </c>
      <c r="V8" s="78" t="s">
        <v>39</v>
      </c>
      <c r="W8" s="78" t="s">
        <v>39</v>
      </c>
      <c r="X8" s="78" t="s">
        <v>32</v>
      </c>
      <c r="Y8" s="78" t="s">
        <v>32</v>
      </c>
      <c r="Z8" s="79" t="s">
        <v>1282</v>
      </c>
      <c r="AA8" s="81">
        <f t="shared" si="0"/>
        <v>-184</v>
      </c>
      <c r="AB8" s="81">
        <f t="shared" si="1"/>
        <v>-184</v>
      </c>
    </row>
    <row r="9" spans="1:29" s="65" customFormat="1" hidden="1" x14ac:dyDescent="0.25">
      <c r="A9" s="65" t="str">
        <f>VLOOKUP(D9,'[1]WWA Timelines '!$A:$A,1,0)</f>
        <v>CH ROBINSON</v>
      </c>
      <c r="B9" s="78" t="s">
        <v>1269</v>
      </c>
      <c r="C9" s="78" t="s">
        <v>1273</v>
      </c>
      <c r="D9" s="78" t="s">
        <v>51</v>
      </c>
      <c r="E9" s="78" t="s">
        <v>1310</v>
      </c>
      <c r="F9" s="78" t="s">
        <v>181</v>
      </c>
      <c r="G9" s="78" t="s">
        <v>53</v>
      </c>
      <c r="H9" s="78" t="s">
        <v>54</v>
      </c>
      <c r="I9" s="78" t="s">
        <v>39</v>
      </c>
      <c r="J9" s="80">
        <v>46188</v>
      </c>
      <c r="K9" s="80">
        <v>46401</v>
      </c>
      <c r="L9" s="80">
        <v>46188</v>
      </c>
      <c r="M9" s="80">
        <v>46217</v>
      </c>
      <c r="N9" s="80" t="s">
        <v>1337</v>
      </c>
      <c r="O9" s="80" t="s">
        <v>1337</v>
      </c>
      <c r="P9" s="80"/>
      <c r="Q9" s="80"/>
      <c r="R9" s="78" t="s">
        <v>39</v>
      </c>
      <c r="S9" s="78" t="s">
        <v>39</v>
      </c>
      <c r="T9" s="78" t="s">
        <v>38</v>
      </c>
      <c r="U9" s="78" t="s">
        <v>39</v>
      </c>
      <c r="V9" s="78" t="s">
        <v>39</v>
      </c>
      <c r="W9" s="78" t="s">
        <v>39</v>
      </c>
      <c r="X9" s="78" t="s">
        <v>32</v>
      </c>
      <c r="Y9" s="78" t="s">
        <v>44</v>
      </c>
      <c r="Z9" s="78"/>
      <c r="AA9" s="81">
        <f t="shared" si="0"/>
        <v>-194</v>
      </c>
      <c r="AB9" s="81">
        <f t="shared" si="1"/>
        <v>-62</v>
      </c>
    </row>
    <row r="10" spans="1:29" s="65" customFormat="1" ht="33.75" hidden="1" x14ac:dyDescent="0.25">
      <c r="A10" s="65" t="str">
        <f>VLOOKUP(D10,'[1]WWA Timelines '!$A:$A,1,0)</f>
        <v>CRANE WORLDWIDE</v>
      </c>
      <c r="B10" s="78" t="s">
        <v>1269</v>
      </c>
      <c r="C10" s="78" t="s">
        <v>1276</v>
      </c>
      <c r="D10" s="78" t="s">
        <v>55</v>
      </c>
      <c r="E10" s="78" t="s">
        <v>1311</v>
      </c>
      <c r="F10" s="78" t="s">
        <v>1312</v>
      </c>
      <c r="G10" s="78" t="s">
        <v>41</v>
      </c>
      <c r="H10" s="78" t="s">
        <v>41</v>
      </c>
      <c r="I10" s="79" t="s">
        <v>1281</v>
      </c>
      <c r="J10" s="80">
        <v>46204</v>
      </c>
      <c r="K10" s="80">
        <v>46234</v>
      </c>
      <c r="L10" s="80">
        <v>46174</v>
      </c>
      <c r="M10" s="80">
        <v>46203</v>
      </c>
      <c r="N10" s="80" t="s">
        <v>32</v>
      </c>
      <c r="O10" s="80" t="s">
        <v>32</v>
      </c>
      <c r="P10" s="80"/>
      <c r="Q10" s="80"/>
      <c r="R10" s="78" t="s">
        <v>33</v>
      </c>
      <c r="S10" s="78" t="s">
        <v>33</v>
      </c>
      <c r="T10" s="78" t="s">
        <v>33</v>
      </c>
      <c r="U10" s="78" t="s">
        <v>34</v>
      </c>
      <c r="V10" s="78" t="s">
        <v>34</v>
      </c>
      <c r="W10" s="78" t="s">
        <v>34</v>
      </c>
      <c r="X10" s="78" t="s">
        <v>34</v>
      </c>
      <c r="Y10" s="78" t="s">
        <v>32</v>
      </c>
      <c r="Z10" s="79" t="s">
        <v>47</v>
      </c>
      <c r="AA10" s="81">
        <f t="shared" si="0"/>
        <v>-75</v>
      </c>
      <c r="AB10" s="81">
        <f t="shared" si="1"/>
        <v>-52</v>
      </c>
    </row>
    <row r="11" spans="1:29" s="65" customFormat="1" ht="33.75" hidden="1" x14ac:dyDescent="0.25">
      <c r="A11" s="65" t="str">
        <f>VLOOKUP(D11,'[1]WWA Timelines '!$A:$A,1,0)</f>
        <v>DACHSER (EXCL. INTRA ASIA)</v>
      </c>
      <c r="B11" s="78" t="s">
        <v>1269</v>
      </c>
      <c r="C11" s="78" t="s">
        <v>1277</v>
      </c>
      <c r="D11" s="78" t="s">
        <v>57</v>
      </c>
      <c r="E11" s="78" t="s">
        <v>1306</v>
      </c>
      <c r="F11" s="78" t="s">
        <v>1307</v>
      </c>
      <c r="G11" s="78" t="s">
        <v>31</v>
      </c>
      <c r="H11" s="78" t="s">
        <v>41</v>
      </c>
      <c r="I11" s="79" t="s">
        <v>1281</v>
      </c>
      <c r="J11" s="80">
        <v>46023</v>
      </c>
      <c r="K11" s="80">
        <v>46387</v>
      </c>
      <c r="L11" s="80">
        <v>46174</v>
      </c>
      <c r="M11" s="80">
        <v>46203</v>
      </c>
      <c r="N11" s="80"/>
      <c r="O11" s="80"/>
      <c r="P11" s="80"/>
      <c r="Q11" s="80"/>
      <c r="R11" s="78" t="s">
        <v>33</v>
      </c>
      <c r="S11" s="78" t="s">
        <v>33</v>
      </c>
      <c r="T11" s="78" t="s">
        <v>64</v>
      </c>
      <c r="U11" s="78" t="s">
        <v>34</v>
      </c>
      <c r="V11" s="78" t="s">
        <v>34</v>
      </c>
      <c r="W11" s="78" t="s">
        <v>34</v>
      </c>
      <c r="X11" s="78" t="s">
        <v>34</v>
      </c>
      <c r="Y11" s="78" t="s">
        <v>32</v>
      </c>
      <c r="Z11" s="79" t="s">
        <v>47</v>
      </c>
      <c r="AA11" s="81">
        <f t="shared" si="0"/>
        <v>-184</v>
      </c>
      <c r="AB11" s="81">
        <f t="shared" si="1"/>
        <v>-52</v>
      </c>
    </row>
    <row r="12" spans="1:29" s="65" customFormat="1" x14ac:dyDescent="0.25">
      <c r="A12" s="65" t="e">
        <f>VLOOKUP(D12,'[1]WWA Timelines '!$A:$A,1,0)</f>
        <v>#N/A</v>
      </c>
      <c r="B12" s="78" t="s">
        <v>1269</v>
      </c>
      <c r="C12" s="78" t="s">
        <v>1277</v>
      </c>
      <c r="D12" s="78" t="s">
        <v>58</v>
      </c>
      <c r="E12" s="78" t="s">
        <v>1313</v>
      </c>
      <c r="F12" s="78" t="s">
        <v>1314</v>
      </c>
      <c r="G12" s="78" t="s">
        <v>31</v>
      </c>
      <c r="H12" s="78" t="s">
        <v>38</v>
      </c>
      <c r="I12" s="78" t="s">
        <v>27</v>
      </c>
      <c r="J12" s="80">
        <v>45809</v>
      </c>
      <c r="K12" s="82">
        <v>46203</v>
      </c>
      <c r="L12" s="82">
        <v>46082</v>
      </c>
      <c r="M12" s="82">
        <v>46203</v>
      </c>
      <c r="N12" s="82"/>
      <c r="O12" s="82"/>
      <c r="P12" s="82"/>
      <c r="Q12" s="82"/>
      <c r="R12" s="78" t="s">
        <v>38</v>
      </c>
      <c r="S12" s="78" t="s">
        <v>38</v>
      </c>
      <c r="T12" s="78" t="s">
        <v>60</v>
      </c>
      <c r="U12" s="78" t="s">
        <v>50</v>
      </c>
      <c r="V12" s="78" t="s">
        <v>50</v>
      </c>
      <c r="W12" s="78" t="s">
        <v>50</v>
      </c>
      <c r="X12" s="78" t="s">
        <v>44</v>
      </c>
      <c r="Y12" s="78" t="s">
        <v>44</v>
      </c>
      <c r="Z12" s="78" t="s">
        <v>61</v>
      </c>
      <c r="AA12" s="81">
        <f t="shared" si="0"/>
        <v>-52</v>
      </c>
      <c r="AB12" s="81">
        <f t="shared" si="1"/>
        <v>-52</v>
      </c>
    </row>
    <row r="13" spans="1:29" s="65" customFormat="1" hidden="1" x14ac:dyDescent="0.25">
      <c r="A13" s="65" t="str">
        <f>VLOOKUP(D13,'[1]WWA Timelines '!$A:$A,1,0)</f>
        <v>DACHSER INTRA ASIA</v>
      </c>
      <c r="B13" s="78" t="s">
        <v>1269</v>
      </c>
      <c r="C13" s="78" t="s">
        <v>1277</v>
      </c>
      <c r="D13" s="83" t="s">
        <v>62</v>
      </c>
      <c r="E13" s="78" t="s">
        <v>1313</v>
      </c>
      <c r="F13" s="78" t="s">
        <v>1314</v>
      </c>
      <c r="G13" s="78" t="s">
        <v>31</v>
      </c>
      <c r="H13" s="78" t="s">
        <v>31</v>
      </c>
      <c r="I13" s="78" t="s">
        <v>27</v>
      </c>
      <c r="J13" s="80">
        <v>45809</v>
      </c>
      <c r="K13" s="82">
        <v>46203</v>
      </c>
      <c r="L13" s="80">
        <v>45809</v>
      </c>
      <c r="M13" s="82">
        <v>46203</v>
      </c>
      <c r="N13" s="82"/>
      <c r="O13" s="82"/>
      <c r="P13" s="82"/>
      <c r="Q13" s="82"/>
      <c r="R13" s="78" t="s">
        <v>31</v>
      </c>
      <c r="S13" s="78" t="s">
        <v>31</v>
      </c>
      <c r="T13" s="78" t="s">
        <v>60</v>
      </c>
      <c r="U13" s="78" t="s">
        <v>50</v>
      </c>
      <c r="V13" s="78" t="s">
        <v>50</v>
      </c>
      <c r="W13" s="78" t="s">
        <v>50</v>
      </c>
      <c r="X13" s="78" t="s">
        <v>32</v>
      </c>
      <c r="Y13" s="78" t="s">
        <v>44</v>
      </c>
      <c r="Z13" s="78" t="s">
        <v>61</v>
      </c>
      <c r="AA13" s="81">
        <f t="shared" si="0"/>
        <v>-52</v>
      </c>
      <c r="AB13" s="81">
        <f t="shared" si="1"/>
        <v>-52</v>
      </c>
    </row>
    <row r="14" spans="1:29" s="65" customFormat="1" ht="56.25" hidden="1" x14ac:dyDescent="0.25">
      <c r="A14" s="65" t="str">
        <f>VLOOKUP(D14,'[1]WWA Timelines '!$A:$A,1,0)</f>
        <v>DHL</v>
      </c>
      <c r="B14" s="78" t="s">
        <v>1269</v>
      </c>
      <c r="C14" s="78" t="s">
        <v>1275</v>
      </c>
      <c r="D14" s="78" t="s">
        <v>63</v>
      </c>
      <c r="E14" s="78" t="s">
        <v>1308</v>
      </c>
      <c r="F14" s="78" t="s">
        <v>1309</v>
      </c>
      <c r="G14" s="78" t="s">
        <v>31</v>
      </c>
      <c r="H14" s="78" t="s">
        <v>31</v>
      </c>
      <c r="I14" s="78" t="s">
        <v>64</v>
      </c>
      <c r="J14" s="80">
        <v>46023</v>
      </c>
      <c r="K14" s="80">
        <v>46387</v>
      </c>
      <c r="L14" s="80">
        <v>46113</v>
      </c>
      <c r="M14" s="80">
        <v>46387</v>
      </c>
      <c r="N14" s="80" t="s">
        <v>1337</v>
      </c>
      <c r="O14" s="80" t="s">
        <v>1337</v>
      </c>
      <c r="P14" s="80"/>
      <c r="Q14" s="80"/>
      <c r="R14" s="78" t="s">
        <v>31</v>
      </c>
      <c r="S14" s="78" t="s">
        <v>31</v>
      </c>
      <c r="T14" s="78" t="s">
        <v>31</v>
      </c>
      <c r="U14" s="78" t="s">
        <v>64</v>
      </c>
      <c r="V14" s="78" t="s">
        <v>64</v>
      </c>
      <c r="W14" s="78" t="s">
        <v>64</v>
      </c>
      <c r="X14" s="79" t="s">
        <v>1259</v>
      </c>
      <c r="Y14" s="78" t="s">
        <v>44</v>
      </c>
      <c r="Z14" s="79" t="s">
        <v>1283</v>
      </c>
      <c r="AA14" s="81">
        <f t="shared" si="0"/>
        <v>-184</v>
      </c>
      <c r="AB14" s="81">
        <f t="shared" si="1"/>
        <v>-184</v>
      </c>
    </row>
    <row r="15" spans="1:29" s="65" customFormat="1" ht="33.75" hidden="1" x14ac:dyDescent="0.25">
      <c r="A15" s="65" t="str">
        <f>VLOOKUP(D15,'[1]WWA Timelines '!$A:$A,1,0)</f>
        <v>DP WORLD</v>
      </c>
      <c r="B15" s="78" t="s">
        <v>1269</v>
      </c>
      <c r="C15" s="78" t="s">
        <v>1276</v>
      </c>
      <c r="D15" s="78" t="s">
        <v>65</v>
      </c>
      <c r="E15" s="78" t="s">
        <v>1306</v>
      </c>
      <c r="F15" s="78" t="s">
        <v>1315</v>
      </c>
      <c r="G15" s="78" t="s">
        <v>31</v>
      </c>
      <c r="H15" s="78" t="s">
        <v>41</v>
      </c>
      <c r="I15" s="79" t="s">
        <v>1281</v>
      </c>
      <c r="J15" s="80">
        <v>46023</v>
      </c>
      <c r="K15" s="80">
        <v>46387</v>
      </c>
      <c r="L15" s="80">
        <v>46174</v>
      </c>
      <c r="M15" s="80">
        <v>46203</v>
      </c>
      <c r="N15" s="80" t="s">
        <v>32</v>
      </c>
      <c r="O15" s="80" t="s">
        <v>32</v>
      </c>
      <c r="P15" s="80"/>
      <c r="Q15" s="80"/>
      <c r="R15" s="78" t="s">
        <v>33</v>
      </c>
      <c r="S15" s="78" t="s">
        <v>33</v>
      </c>
      <c r="T15" s="78" t="s">
        <v>33</v>
      </c>
      <c r="U15" s="78" t="s">
        <v>34</v>
      </c>
      <c r="V15" s="78" t="s">
        <v>34</v>
      </c>
      <c r="W15" s="78" t="s">
        <v>34</v>
      </c>
      <c r="X15" s="78" t="s">
        <v>34</v>
      </c>
      <c r="Y15" s="78" t="s">
        <v>32</v>
      </c>
      <c r="Z15" s="78"/>
      <c r="AA15" s="81">
        <f t="shared" si="0"/>
        <v>-184</v>
      </c>
      <c r="AB15" s="81">
        <f t="shared" si="1"/>
        <v>-52</v>
      </c>
    </row>
    <row r="16" spans="1:29" s="65" customFormat="1" ht="33.75" hidden="1" x14ac:dyDescent="0.25">
      <c r="A16" s="65" t="str">
        <f>VLOOKUP(D16,'[1]WWA Timelines '!$A:$A,1,0)</f>
        <v>DSV GLOBAL (RFQ &amp; NON-RFQ LANES)</v>
      </c>
      <c r="B16" s="78" t="s">
        <v>1269</v>
      </c>
      <c r="C16" s="78" t="s">
        <v>1276</v>
      </c>
      <c r="D16" s="79" t="s">
        <v>1265</v>
      </c>
      <c r="E16" s="78" t="s">
        <v>1308</v>
      </c>
      <c r="F16" s="78" t="s">
        <v>1309</v>
      </c>
      <c r="G16" s="78" t="s">
        <v>31</v>
      </c>
      <c r="H16" s="78" t="s">
        <v>31</v>
      </c>
      <c r="I16" s="78" t="s">
        <v>33</v>
      </c>
      <c r="J16" s="80">
        <v>46113</v>
      </c>
      <c r="K16" s="80">
        <v>46477</v>
      </c>
      <c r="L16" s="80">
        <v>46113</v>
      </c>
      <c r="M16" s="80">
        <v>46477</v>
      </c>
      <c r="N16" s="80" t="s">
        <v>32</v>
      </c>
      <c r="O16" s="80" t="s">
        <v>32</v>
      </c>
      <c r="P16" s="80"/>
      <c r="Q16" s="80"/>
      <c r="R16" s="78" t="s">
        <v>33</v>
      </c>
      <c r="S16" s="78" t="s">
        <v>33</v>
      </c>
      <c r="T16" s="78" t="s">
        <v>33</v>
      </c>
      <c r="U16" s="78" t="s">
        <v>33</v>
      </c>
      <c r="V16" s="78" t="s">
        <v>33</v>
      </c>
      <c r="W16" s="78" t="s">
        <v>33</v>
      </c>
      <c r="X16" s="78" t="s">
        <v>33</v>
      </c>
      <c r="Y16" s="78" t="s">
        <v>1285</v>
      </c>
      <c r="Z16" s="79" t="s">
        <v>1284</v>
      </c>
      <c r="AA16" s="81">
        <f t="shared" si="0"/>
        <v>-248</v>
      </c>
      <c r="AB16" s="81">
        <f t="shared" si="1"/>
        <v>-248</v>
      </c>
    </row>
    <row r="17" spans="1:28" s="65" customFormat="1" hidden="1" x14ac:dyDescent="0.25">
      <c r="A17" s="65" t="e">
        <f>VLOOKUP(D17,'[1]WWA Timelines '!$A:$A,1,0)</f>
        <v>#N/A</v>
      </c>
      <c r="B17" s="78" t="s">
        <v>1269</v>
      </c>
      <c r="C17" s="78" t="s">
        <v>1274</v>
      </c>
      <c r="D17" s="79" t="s">
        <v>668</v>
      </c>
      <c r="E17" s="78" t="s">
        <v>181</v>
      </c>
      <c r="F17" s="78" t="s">
        <v>27</v>
      </c>
      <c r="G17" s="78" t="s">
        <v>31</v>
      </c>
      <c r="H17" s="78" t="s">
        <v>41</v>
      </c>
      <c r="I17" s="79" t="s">
        <v>32</v>
      </c>
      <c r="J17" s="80">
        <v>46189</v>
      </c>
      <c r="K17" s="80">
        <v>46387</v>
      </c>
      <c r="L17" s="80">
        <v>46189</v>
      </c>
      <c r="M17" s="80">
        <v>46203</v>
      </c>
      <c r="N17" s="80" t="s">
        <v>32</v>
      </c>
      <c r="O17" s="80" t="s">
        <v>32</v>
      </c>
      <c r="P17" s="80"/>
      <c r="Q17" s="80"/>
      <c r="R17" s="78" t="s">
        <v>33</v>
      </c>
      <c r="S17" s="78" t="s">
        <v>33</v>
      </c>
      <c r="T17" s="78" t="s">
        <v>33</v>
      </c>
      <c r="U17" s="78" t="s">
        <v>32</v>
      </c>
      <c r="V17" s="78" t="s">
        <v>32</v>
      </c>
      <c r="W17" s="78" t="s">
        <v>32</v>
      </c>
      <c r="X17" s="78" t="s">
        <v>32</v>
      </c>
      <c r="Y17" s="78" t="s">
        <v>32</v>
      </c>
      <c r="Z17" s="79"/>
      <c r="AA17" s="81">
        <f t="shared" ref="AA17" si="2">IFERROR(NETWORKDAYS(K17,$AC$1),"-")</f>
        <v>-184</v>
      </c>
      <c r="AB17" s="81">
        <f t="shared" ref="AB17" si="3">IFERROR(NETWORKDAYS(M17,$AC$1),"-")</f>
        <v>-52</v>
      </c>
    </row>
    <row r="18" spans="1:28" s="65" customFormat="1" hidden="1" x14ac:dyDescent="0.25">
      <c r="A18" s="65" t="str">
        <f>VLOOKUP(D18,'[1]WWA Timelines '!$A:$A,1,0)</f>
        <v>EV CARGO (RA)</v>
      </c>
      <c r="B18" s="78" t="s">
        <v>296</v>
      </c>
      <c r="C18" s="78" t="s">
        <v>1277</v>
      </c>
      <c r="D18" s="78" t="s">
        <v>67</v>
      </c>
      <c r="E18" s="78" t="s">
        <v>1316</v>
      </c>
      <c r="F18" s="78" t="s">
        <v>37</v>
      </c>
      <c r="G18" s="78" t="s">
        <v>31</v>
      </c>
      <c r="H18" s="78" t="s">
        <v>38</v>
      </c>
      <c r="I18" s="79" t="s">
        <v>32</v>
      </c>
      <c r="J18" s="80">
        <v>46023</v>
      </c>
      <c r="K18" s="80">
        <v>46387</v>
      </c>
      <c r="L18" s="80">
        <v>46204</v>
      </c>
      <c r="M18" s="80">
        <v>46295</v>
      </c>
      <c r="N18" s="80" t="s">
        <v>32</v>
      </c>
      <c r="O18" s="80" t="s">
        <v>32</v>
      </c>
      <c r="P18" s="80"/>
      <c r="Q18" s="80"/>
      <c r="R18" s="78" t="s">
        <v>38</v>
      </c>
      <c r="S18" s="78" t="s">
        <v>38</v>
      </c>
      <c r="T18" s="78" t="s">
        <v>38</v>
      </c>
      <c r="U18" s="78" t="s">
        <v>32</v>
      </c>
      <c r="V18" s="78" t="s">
        <v>32</v>
      </c>
      <c r="W18" s="78" t="s">
        <v>32</v>
      </c>
      <c r="X18" s="78" t="s">
        <v>32</v>
      </c>
      <c r="Y18" s="78" t="s">
        <v>32</v>
      </c>
      <c r="Z18" s="78"/>
      <c r="AA18" s="81">
        <f t="shared" si="0"/>
        <v>-184</v>
      </c>
      <c r="AB18" s="81">
        <f t="shared" si="1"/>
        <v>-118</v>
      </c>
    </row>
    <row r="19" spans="1:28" s="65" customFormat="1" ht="33.75" hidden="1" x14ac:dyDescent="0.25">
      <c r="A19" s="65" t="str">
        <f>VLOOKUP(D19,'[1]WWA Timelines '!$A:$A,1,0)</f>
        <v>EXPEDITORS</v>
      </c>
      <c r="B19" s="78" t="s">
        <v>1269</v>
      </c>
      <c r="C19" s="78" t="s">
        <v>1277</v>
      </c>
      <c r="D19" s="78" t="s">
        <v>68</v>
      </c>
      <c r="E19" s="78" t="s">
        <v>1317</v>
      </c>
      <c r="F19" s="78" t="s">
        <v>27</v>
      </c>
      <c r="G19" s="78" t="s">
        <v>53</v>
      </c>
      <c r="H19" s="78" t="s">
        <v>41</v>
      </c>
      <c r="I19" s="79" t="s">
        <v>1281</v>
      </c>
      <c r="J19" s="80">
        <v>46204</v>
      </c>
      <c r="K19" s="80">
        <v>46387</v>
      </c>
      <c r="L19" s="80">
        <v>46174</v>
      </c>
      <c r="M19" s="80">
        <v>46203</v>
      </c>
      <c r="N19" s="80" t="s">
        <v>32</v>
      </c>
      <c r="O19" s="80" t="s">
        <v>32</v>
      </c>
      <c r="P19" s="80" t="s">
        <v>1286</v>
      </c>
      <c r="Q19" s="80"/>
      <c r="R19" s="78" t="s">
        <v>33</v>
      </c>
      <c r="S19" s="78" t="s">
        <v>33</v>
      </c>
      <c r="T19" s="78" t="s">
        <v>33</v>
      </c>
      <c r="U19" s="78" t="s">
        <v>34</v>
      </c>
      <c r="V19" s="78" t="s">
        <v>34</v>
      </c>
      <c r="W19" s="78" t="s">
        <v>33</v>
      </c>
      <c r="X19" s="78" t="s">
        <v>32</v>
      </c>
      <c r="Y19" s="78" t="s">
        <v>32</v>
      </c>
      <c r="Z19" s="79" t="s">
        <v>47</v>
      </c>
      <c r="AA19" s="81">
        <f t="shared" si="0"/>
        <v>-184</v>
      </c>
      <c r="AB19" s="81">
        <f t="shared" si="1"/>
        <v>-52</v>
      </c>
    </row>
    <row r="20" spans="1:28" s="65" customFormat="1" ht="33.75" hidden="1" x14ac:dyDescent="0.25">
      <c r="A20" s="65" t="str">
        <f>VLOOKUP(D20,'[1]WWA Timelines '!$A:$A,1,0)</f>
        <v>FEDEXTRADE</v>
      </c>
      <c r="B20" s="78" t="s">
        <v>1269</v>
      </c>
      <c r="C20" s="78" t="s">
        <v>1273</v>
      </c>
      <c r="D20" s="78" t="s">
        <v>69</v>
      </c>
      <c r="E20" s="78" t="s">
        <v>1331</v>
      </c>
      <c r="F20" s="78" t="s">
        <v>1318</v>
      </c>
      <c r="G20" s="78" t="s">
        <v>31</v>
      </c>
      <c r="H20" s="78" t="s">
        <v>41</v>
      </c>
      <c r="I20" s="79" t="s">
        <v>1281</v>
      </c>
      <c r="J20" s="80">
        <v>46023</v>
      </c>
      <c r="K20" s="80">
        <v>46387</v>
      </c>
      <c r="L20" s="80">
        <v>46174</v>
      </c>
      <c r="M20" s="80">
        <v>46203</v>
      </c>
      <c r="N20" s="80"/>
      <c r="O20" s="80"/>
      <c r="P20" s="80"/>
      <c r="Q20" s="80"/>
      <c r="R20" s="78" t="s">
        <v>33</v>
      </c>
      <c r="S20" s="78" t="s">
        <v>33</v>
      </c>
      <c r="T20" s="78" t="s">
        <v>33</v>
      </c>
      <c r="U20" s="78" t="s">
        <v>34</v>
      </c>
      <c r="V20" s="78" t="s">
        <v>34</v>
      </c>
      <c r="W20" s="78" t="s">
        <v>33</v>
      </c>
      <c r="X20" s="78" t="s">
        <v>33</v>
      </c>
      <c r="Y20" s="78" t="s">
        <v>32</v>
      </c>
      <c r="Z20" s="79" t="s">
        <v>47</v>
      </c>
      <c r="AA20" s="81">
        <f t="shared" si="0"/>
        <v>-184</v>
      </c>
      <c r="AB20" s="81">
        <f t="shared" si="1"/>
        <v>-52</v>
      </c>
    </row>
    <row r="21" spans="1:28" s="65" customFormat="1" hidden="1" x14ac:dyDescent="0.25">
      <c r="A21" s="65" t="str">
        <f>VLOOKUP(D21,'[1]WWA Timelines '!$A:$A,1,0)</f>
        <v>FIBS (RA)</v>
      </c>
      <c r="B21" s="78" t="s">
        <v>296</v>
      </c>
      <c r="C21" s="78" t="s">
        <v>1274</v>
      </c>
      <c r="D21" s="78" t="s">
        <v>70</v>
      </c>
      <c r="E21" s="78" t="s">
        <v>1316</v>
      </c>
      <c r="F21" s="78" t="s">
        <v>37</v>
      </c>
      <c r="G21" s="78" t="s">
        <v>31</v>
      </c>
      <c r="H21" s="78" t="s">
        <v>38</v>
      </c>
      <c r="I21" s="78" t="s">
        <v>32</v>
      </c>
      <c r="J21" s="80">
        <v>46023</v>
      </c>
      <c r="K21" s="80">
        <v>46387</v>
      </c>
      <c r="L21" s="80">
        <v>46204</v>
      </c>
      <c r="M21" s="80">
        <v>46295</v>
      </c>
      <c r="N21" s="80" t="s">
        <v>32</v>
      </c>
      <c r="O21" s="80" t="s">
        <v>32</v>
      </c>
      <c r="P21" s="80"/>
      <c r="Q21" s="80"/>
      <c r="R21" s="78" t="s">
        <v>38</v>
      </c>
      <c r="S21" s="78" t="s">
        <v>38</v>
      </c>
      <c r="T21" s="78" t="s">
        <v>38</v>
      </c>
      <c r="U21" s="78" t="s">
        <v>32</v>
      </c>
      <c r="V21" s="78" t="s">
        <v>32</v>
      </c>
      <c r="W21" s="78" t="s">
        <v>32</v>
      </c>
      <c r="X21" s="78" t="s">
        <v>32</v>
      </c>
      <c r="Y21" s="78" t="s">
        <v>32</v>
      </c>
      <c r="Z21" s="78"/>
      <c r="AA21" s="81">
        <f t="shared" si="0"/>
        <v>-184</v>
      </c>
      <c r="AB21" s="81">
        <f t="shared" si="1"/>
        <v>-118</v>
      </c>
    </row>
    <row r="22" spans="1:28" s="65" customFormat="1" ht="33.75" hidden="1" x14ac:dyDescent="0.25">
      <c r="A22" s="65" t="str">
        <f>VLOOKUP(D22,'[1]WWA Timelines '!$A:$A,1,0)</f>
        <v>FIVE STAR (RA)</v>
      </c>
      <c r="B22" s="78" t="s">
        <v>296</v>
      </c>
      <c r="C22" s="78" t="s">
        <v>1277</v>
      </c>
      <c r="D22" s="78" t="s">
        <v>71</v>
      </c>
      <c r="E22" s="78" t="s">
        <v>1306</v>
      </c>
      <c r="F22" s="78" t="s">
        <v>214</v>
      </c>
      <c r="G22" s="78" t="s">
        <v>31</v>
      </c>
      <c r="H22" s="78" t="s">
        <v>41</v>
      </c>
      <c r="I22" s="79" t="s">
        <v>1281</v>
      </c>
      <c r="J22" s="80">
        <v>46023</v>
      </c>
      <c r="K22" s="80">
        <v>46387</v>
      </c>
      <c r="L22" s="80">
        <v>46174</v>
      </c>
      <c r="M22" s="80">
        <v>46203</v>
      </c>
      <c r="N22" s="80" t="s">
        <v>32</v>
      </c>
      <c r="O22" s="80" t="s">
        <v>32</v>
      </c>
      <c r="P22" s="80" t="s">
        <v>1286</v>
      </c>
      <c r="Q22" s="80"/>
      <c r="R22" s="78" t="s">
        <v>33</v>
      </c>
      <c r="S22" s="78" t="s">
        <v>33</v>
      </c>
      <c r="T22" s="78" t="s">
        <v>38</v>
      </c>
      <c r="U22" s="78" t="s">
        <v>34</v>
      </c>
      <c r="V22" s="78" t="s">
        <v>34</v>
      </c>
      <c r="W22" s="78" t="s">
        <v>34</v>
      </c>
      <c r="X22" s="78" t="s">
        <v>34</v>
      </c>
      <c r="Y22" s="78" t="s">
        <v>32</v>
      </c>
      <c r="Z22" s="79" t="s">
        <v>47</v>
      </c>
      <c r="AA22" s="81">
        <f t="shared" si="0"/>
        <v>-184</v>
      </c>
      <c r="AB22" s="81">
        <f t="shared" si="1"/>
        <v>-52</v>
      </c>
    </row>
    <row r="23" spans="1:28" s="65" customFormat="1" ht="33.75" hidden="1" x14ac:dyDescent="0.25">
      <c r="A23" s="65" t="str">
        <f>VLOOKUP(D23,'[1]WWA Timelines '!$A:$A,1,0)</f>
        <v>FLEXPORT</v>
      </c>
      <c r="B23" s="78" t="s">
        <v>1269</v>
      </c>
      <c r="C23" s="78" t="s">
        <v>1277</v>
      </c>
      <c r="D23" s="78" t="s">
        <v>72</v>
      </c>
      <c r="E23" s="78" t="s">
        <v>1313</v>
      </c>
      <c r="F23" s="78" t="s">
        <v>1319</v>
      </c>
      <c r="G23" s="78" t="s">
        <v>31</v>
      </c>
      <c r="H23" s="78" t="s">
        <v>41</v>
      </c>
      <c r="I23" s="79" t="s">
        <v>1281</v>
      </c>
      <c r="J23" s="80">
        <v>46023</v>
      </c>
      <c r="K23" s="80">
        <v>46387</v>
      </c>
      <c r="L23" s="80">
        <v>46174</v>
      </c>
      <c r="M23" s="80">
        <v>46203</v>
      </c>
      <c r="N23" s="80" t="s">
        <v>32</v>
      </c>
      <c r="O23" s="80" t="s">
        <v>32</v>
      </c>
      <c r="P23" s="80"/>
      <c r="Q23" s="80"/>
      <c r="R23" s="78" t="s">
        <v>33</v>
      </c>
      <c r="S23" s="78" t="s">
        <v>33</v>
      </c>
      <c r="T23" s="78" t="s">
        <v>64</v>
      </c>
      <c r="U23" s="78" t="s">
        <v>34</v>
      </c>
      <c r="V23" s="78" t="s">
        <v>34</v>
      </c>
      <c r="W23" s="78" t="s">
        <v>34</v>
      </c>
      <c r="X23" s="78" t="s">
        <v>34</v>
      </c>
      <c r="Y23" s="78" t="s">
        <v>32</v>
      </c>
      <c r="Z23" s="79" t="s">
        <v>47</v>
      </c>
      <c r="AA23" s="81">
        <f t="shared" si="0"/>
        <v>-184</v>
      </c>
      <c r="AB23" s="81">
        <f t="shared" si="1"/>
        <v>-52</v>
      </c>
    </row>
    <row r="24" spans="1:28" s="65" customFormat="1" ht="33.75" hidden="1" x14ac:dyDescent="0.25">
      <c r="A24" s="65" t="str">
        <f>VLOOKUP(D24,'[1]WWA Timelines '!$A:$A,1,0)</f>
        <v>GEBR. WEISS</v>
      </c>
      <c r="B24" s="78" t="s">
        <v>1269</v>
      </c>
      <c r="C24" s="78" t="s">
        <v>1276</v>
      </c>
      <c r="D24" s="78" t="s">
        <v>74</v>
      </c>
      <c r="E24" s="78" t="s">
        <v>1308</v>
      </c>
      <c r="F24" s="78" t="s">
        <v>1309</v>
      </c>
      <c r="G24" s="78" t="s">
        <v>31</v>
      </c>
      <c r="H24" s="78" t="s">
        <v>41</v>
      </c>
      <c r="I24" s="79" t="s">
        <v>1281</v>
      </c>
      <c r="J24" s="80">
        <v>46023</v>
      </c>
      <c r="K24" s="80">
        <v>46387</v>
      </c>
      <c r="L24" s="80">
        <v>46174</v>
      </c>
      <c r="M24" s="80">
        <v>46203</v>
      </c>
      <c r="N24" s="80" t="s">
        <v>32</v>
      </c>
      <c r="O24" s="80" t="s">
        <v>32</v>
      </c>
      <c r="P24" s="80"/>
      <c r="Q24" s="80"/>
      <c r="R24" s="78" t="s">
        <v>33</v>
      </c>
      <c r="S24" s="78" t="s">
        <v>33</v>
      </c>
      <c r="T24" s="78" t="s">
        <v>33</v>
      </c>
      <c r="U24" s="78" t="s">
        <v>34</v>
      </c>
      <c r="V24" s="78" t="s">
        <v>34</v>
      </c>
      <c r="W24" s="78" t="s">
        <v>34</v>
      </c>
      <c r="X24" s="78" t="s">
        <v>34</v>
      </c>
      <c r="Y24" s="78" t="s">
        <v>32</v>
      </c>
      <c r="Z24" s="79" t="s">
        <v>47</v>
      </c>
      <c r="AA24" s="81">
        <f t="shared" si="0"/>
        <v>-184</v>
      </c>
      <c r="AB24" s="81">
        <f t="shared" si="1"/>
        <v>-52</v>
      </c>
    </row>
    <row r="25" spans="1:28" s="65" customFormat="1" ht="33.75" hidden="1" x14ac:dyDescent="0.25">
      <c r="A25" s="65" t="str">
        <f>VLOOKUP(D25,'[1]WWA Timelines '!$A:$A,1,0)</f>
        <v>GEODIS</v>
      </c>
      <c r="B25" s="78" t="s">
        <v>1269</v>
      </c>
      <c r="C25" s="78" t="s">
        <v>1278</v>
      </c>
      <c r="D25" s="78" t="s">
        <v>75</v>
      </c>
      <c r="E25" s="78" t="s">
        <v>1320</v>
      </c>
      <c r="F25" s="78" t="s">
        <v>1321</v>
      </c>
      <c r="G25" s="78" t="s">
        <v>31</v>
      </c>
      <c r="H25" s="78" t="s">
        <v>41</v>
      </c>
      <c r="I25" s="79" t="s">
        <v>1281</v>
      </c>
      <c r="J25" s="80">
        <v>46023</v>
      </c>
      <c r="K25" s="80">
        <v>46387</v>
      </c>
      <c r="L25" s="80">
        <v>46174</v>
      </c>
      <c r="M25" s="80">
        <v>46203</v>
      </c>
      <c r="N25" s="80"/>
      <c r="O25" s="80"/>
      <c r="P25" s="80"/>
      <c r="Q25" s="80"/>
      <c r="R25" s="78" t="s">
        <v>33</v>
      </c>
      <c r="S25" s="78" t="s">
        <v>33</v>
      </c>
      <c r="T25" s="78" t="s">
        <v>33</v>
      </c>
      <c r="U25" s="78" t="s">
        <v>34</v>
      </c>
      <c r="V25" s="78" t="s">
        <v>34</v>
      </c>
      <c r="W25" s="78" t="s">
        <v>34</v>
      </c>
      <c r="X25" s="78" t="s">
        <v>34</v>
      </c>
      <c r="Y25" s="78" t="s">
        <v>32</v>
      </c>
      <c r="Z25" s="79" t="s">
        <v>47</v>
      </c>
      <c r="AA25" s="81">
        <f t="shared" si="0"/>
        <v>-184</v>
      </c>
      <c r="AB25" s="81">
        <f t="shared" si="1"/>
        <v>-52</v>
      </c>
    </row>
    <row r="26" spans="1:28" s="65" customFormat="1" hidden="1" x14ac:dyDescent="0.25">
      <c r="A26" s="65" t="str">
        <f>VLOOKUP(D26,'[1]WWA Timelines '!$A:$A,1,0)</f>
        <v>HELLMANN</v>
      </c>
      <c r="B26" s="78" t="s">
        <v>1269</v>
      </c>
      <c r="C26" s="78" t="s">
        <v>1278</v>
      </c>
      <c r="D26" s="78" t="s">
        <v>77</v>
      </c>
      <c r="E26" s="78" t="s">
        <v>1322</v>
      </c>
      <c r="F26" s="78" t="s">
        <v>1307</v>
      </c>
      <c r="G26" s="78" t="s">
        <v>31</v>
      </c>
      <c r="H26" s="78" t="s">
        <v>38</v>
      </c>
      <c r="I26" s="78" t="s">
        <v>39</v>
      </c>
      <c r="J26" s="80">
        <v>46054</v>
      </c>
      <c r="K26" s="80">
        <v>46387</v>
      </c>
      <c r="L26" s="80">
        <v>46143</v>
      </c>
      <c r="M26" s="80">
        <v>46265</v>
      </c>
      <c r="N26" s="80" t="s">
        <v>32</v>
      </c>
      <c r="O26" s="80" t="s">
        <v>32</v>
      </c>
      <c r="P26" s="80"/>
      <c r="Q26" s="80"/>
      <c r="R26" s="78" t="s">
        <v>38</v>
      </c>
      <c r="S26" s="78" t="s">
        <v>38</v>
      </c>
      <c r="T26" s="78" t="s">
        <v>38</v>
      </c>
      <c r="U26" s="78" t="s">
        <v>39</v>
      </c>
      <c r="V26" s="78" t="s">
        <v>39</v>
      </c>
      <c r="W26" s="78" t="s">
        <v>39</v>
      </c>
      <c r="X26" s="78" t="s">
        <v>1286</v>
      </c>
      <c r="Y26" s="78" t="s">
        <v>1286</v>
      </c>
      <c r="Z26" s="79" t="s">
        <v>1287</v>
      </c>
      <c r="AA26" s="81">
        <f t="shared" si="0"/>
        <v>-184</v>
      </c>
      <c r="AB26" s="81">
        <f t="shared" si="1"/>
        <v>-96</v>
      </c>
    </row>
    <row r="27" spans="1:28" s="65" customFormat="1" hidden="1" x14ac:dyDescent="0.25">
      <c r="A27" s="65" t="str">
        <f>VLOOKUP(D27,'[1]WWA Timelines '!$A:$A,1,0)</f>
        <v>HELLMANN INTRA ASIA</v>
      </c>
      <c r="B27" s="78" t="s">
        <v>1269</v>
      </c>
      <c r="C27" s="78" t="s">
        <v>1278</v>
      </c>
      <c r="D27" s="78" t="s">
        <v>78</v>
      </c>
      <c r="E27" s="78" t="s">
        <v>1313</v>
      </c>
      <c r="F27" s="78" t="s">
        <v>37</v>
      </c>
      <c r="G27" s="78" t="s">
        <v>31</v>
      </c>
      <c r="H27" s="78" t="s">
        <v>38</v>
      </c>
      <c r="I27" s="78" t="s">
        <v>32</v>
      </c>
      <c r="J27" s="80">
        <v>46023</v>
      </c>
      <c r="K27" s="80">
        <v>46387</v>
      </c>
      <c r="L27" s="80">
        <v>46204</v>
      </c>
      <c r="M27" s="80">
        <v>46295</v>
      </c>
      <c r="N27" s="80"/>
      <c r="O27" s="80"/>
      <c r="P27" s="80"/>
      <c r="Q27" s="80"/>
      <c r="R27" s="78" t="s">
        <v>38</v>
      </c>
      <c r="S27" s="78" t="s">
        <v>38</v>
      </c>
      <c r="T27" s="78" t="s">
        <v>60</v>
      </c>
      <c r="U27" s="78" t="s">
        <v>32</v>
      </c>
      <c r="V27" s="78" t="s">
        <v>32</v>
      </c>
      <c r="W27" s="78" t="s">
        <v>32</v>
      </c>
      <c r="X27" s="78" t="s">
        <v>32</v>
      </c>
      <c r="Y27" s="78" t="s">
        <v>44</v>
      </c>
      <c r="Z27" s="78"/>
      <c r="AA27" s="81">
        <f t="shared" si="0"/>
        <v>-184</v>
      </c>
      <c r="AB27" s="81">
        <f t="shared" si="1"/>
        <v>-118</v>
      </c>
    </row>
    <row r="28" spans="1:28" s="65" customFormat="1" ht="56.25" hidden="1" x14ac:dyDescent="0.25">
      <c r="A28" s="65" t="str">
        <f>VLOOKUP(D28,'[1]WWA Timelines '!$A:$A,1,0)</f>
        <v>JAS OCEAN</v>
      </c>
      <c r="B28" s="78" t="s">
        <v>1269</v>
      </c>
      <c r="C28" s="78" t="s">
        <v>1273</v>
      </c>
      <c r="D28" s="78" t="s">
        <v>79</v>
      </c>
      <c r="E28" s="78" t="s">
        <v>1323</v>
      </c>
      <c r="F28" s="78" t="s">
        <v>1318</v>
      </c>
      <c r="G28" s="78" t="s">
        <v>31</v>
      </c>
      <c r="H28" s="78" t="s">
        <v>41</v>
      </c>
      <c r="I28" s="79" t="s">
        <v>1281</v>
      </c>
      <c r="J28" s="80">
        <v>46023</v>
      </c>
      <c r="K28" s="80">
        <v>46387</v>
      </c>
      <c r="L28" s="80">
        <v>46174</v>
      </c>
      <c r="M28" s="80">
        <v>46203</v>
      </c>
      <c r="N28" s="80"/>
      <c r="O28" s="80"/>
      <c r="P28" s="80"/>
      <c r="Q28" s="80" t="s">
        <v>31</v>
      </c>
      <c r="R28" s="78" t="s">
        <v>33</v>
      </c>
      <c r="S28" s="78" t="s">
        <v>33</v>
      </c>
      <c r="T28" s="78" t="s">
        <v>33</v>
      </c>
      <c r="U28" s="78" t="s">
        <v>34</v>
      </c>
      <c r="V28" s="78" t="s">
        <v>34</v>
      </c>
      <c r="W28" s="78" t="s">
        <v>34</v>
      </c>
      <c r="X28" s="78" t="s">
        <v>34</v>
      </c>
      <c r="Y28" s="78" t="s">
        <v>32</v>
      </c>
      <c r="Z28" s="79" t="s">
        <v>1344</v>
      </c>
      <c r="AA28" s="81">
        <f t="shared" si="0"/>
        <v>-184</v>
      </c>
      <c r="AB28" s="81">
        <f t="shared" si="1"/>
        <v>-52</v>
      </c>
    </row>
    <row r="29" spans="1:28" s="65" customFormat="1" ht="33.75" hidden="1" x14ac:dyDescent="0.25">
      <c r="A29" s="65" t="str">
        <f>VLOOKUP(D29,'[1]WWA Timelines '!$A:$A,1,0)</f>
        <v>KLN</v>
      </c>
      <c r="B29" s="78" t="s">
        <v>1269</v>
      </c>
      <c r="C29" s="78" t="s">
        <v>1272</v>
      </c>
      <c r="D29" s="78" t="s">
        <v>80</v>
      </c>
      <c r="E29" s="78" t="s">
        <v>1313</v>
      </c>
      <c r="F29" s="78" t="s">
        <v>37</v>
      </c>
      <c r="G29" s="78" t="s">
        <v>38</v>
      </c>
      <c r="H29" s="78" t="s">
        <v>41</v>
      </c>
      <c r="I29" s="79" t="s">
        <v>1281</v>
      </c>
      <c r="J29" s="80">
        <v>46204</v>
      </c>
      <c r="K29" s="80">
        <v>46295</v>
      </c>
      <c r="L29" s="80">
        <v>46174</v>
      </c>
      <c r="M29" s="80">
        <v>46203</v>
      </c>
      <c r="N29" s="80" t="s">
        <v>32</v>
      </c>
      <c r="O29" s="80" t="s">
        <v>32</v>
      </c>
      <c r="P29" s="80"/>
      <c r="Q29" s="80"/>
      <c r="R29" s="78" t="s">
        <v>33</v>
      </c>
      <c r="S29" s="78" t="s">
        <v>33</v>
      </c>
      <c r="T29" s="78" t="s">
        <v>64</v>
      </c>
      <c r="U29" s="78" t="s">
        <v>34</v>
      </c>
      <c r="V29" s="78" t="s">
        <v>34</v>
      </c>
      <c r="W29" s="78" t="s">
        <v>34</v>
      </c>
      <c r="X29" s="78" t="s">
        <v>34</v>
      </c>
      <c r="Y29" s="78" t="s">
        <v>32</v>
      </c>
      <c r="Z29" s="79" t="s">
        <v>47</v>
      </c>
      <c r="AA29" s="81">
        <f t="shared" si="0"/>
        <v>-118</v>
      </c>
      <c r="AB29" s="81">
        <f t="shared" si="1"/>
        <v>-52</v>
      </c>
    </row>
    <row r="30" spans="1:28" s="65" customFormat="1" ht="33.75" hidden="1" x14ac:dyDescent="0.25">
      <c r="A30" s="65" t="str">
        <f>VLOOKUP(D30,'[1]WWA Timelines '!$A:$A,1,0)</f>
        <v>KINTETSU</v>
      </c>
      <c r="B30" s="78" t="s">
        <v>1269</v>
      </c>
      <c r="C30" s="78" t="s">
        <v>1272</v>
      </c>
      <c r="D30" s="78" t="s">
        <v>81</v>
      </c>
      <c r="E30" s="78" t="s">
        <v>1324</v>
      </c>
      <c r="F30" s="78" t="s">
        <v>37</v>
      </c>
      <c r="G30" s="78" t="s">
        <v>53</v>
      </c>
      <c r="H30" s="78" t="s">
        <v>41</v>
      </c>
      <c r="I30" s="79" t="s">
        <v>1281</v>
      </c>
      <c r="J30" s="80">
        <v>46204</v>
      </c>
      <c r="K30" s="80">
        <v>46387</v>
      </c>
      <c r="L30" s="80">
        <v>46174</v>
      </c>
      <c r="M30" s="80">
        <v>46203</v>
      </c>
      <c r="N30" s="80"/>
      <c r="O30" s="80"/>
      <c r="P30" s="80"/>
      <c r="Q30" s="80"/>
      <c r="R30" s="78" t="s">
        <v>33</v>
      </c>
      <c r="S30" s="78" t="s">
        <v>33</v>
      </c>
      <c r="T30" s="78" t="s">
        <v>33</v>
      </c>
      <c r="U30" s="78" t="s">
        <v>34</v>
      </c>
      <c r="V30" s="78" t="s">
        <v>34</v>
      </c>
      <c r="W30" s="78" t="s">
        <v>34</v>
      </c>
      <c r="X30" s="78" t="s">
        <v>34</v>
      </c>
      <c r="Y30" s="78" t="s">
        <v>32</v>
      </c>
      <c r="Z30" s="79" t="s">
        <v>47</v>
      </c>
      <c r="AA30" s="81">
        <f t="shared" si="0"/>
        <v>-184</v>
      </c>
      <c r="AB30" s="81">
        <f t="shared" si="1"/>
        <v>-52</v>
      </c>
    </row>
    <row r="31" spans="1:28" s="65" customFormat="1" hidden="1" x14ac:dyDescent="0.25">
      <c r="A31" s="65" t="str">
        <f>VLOOKUP(D31,'[1]WWA Timelines '!$A:$A,1,0)</f>
        <v>KUEHNE &amp; NAGEL</v>
      </c>
      <c r="B31" s="78" t="s">
        <v>1269</v>
      </c>
      <c r="C31" s="78" t="s">
        <v>1276</v>
      </c>
      <c r="D31" s="78" t="s">
        <v>82</v>
      </c>
      <c r="E31" s="78" t="s">
        <v>1322</v>
      </c>
      <c r="F31" s="78" t="s">
        <v>1307</v>
      </c>
      <c r="G31" s="78" t="s">
        <v>31</v>
      </c>
      <c r="H31" s="78" t="s">
        <v>41</v>
      </c>
      <c r="I31" s="78" t="s">
        <v>33</v>
      </c>
      <c r="J31" s="80">
        <v>46023</v>
      </c>
      <c r="K31" s="80">
        <v>46387</v>
      </c>
      <c r="L31" s="80">
        <v>46174</v>
      </c>
      <c r="M31" s="80">
        <v>46203</v>
      </c>
      <c r="N31" s="80" t="s">
        <v>32</v>
      </c>
      <c r="O31" s="80" t="s">
        <v>32</v>
      </c>
      <c r="P31" s="80"/>
      <c r="Q31" s="80"/>
      <c r="R31" s="78" t="s">
        <v>33</v>
      </c>
      <c r="S31" s="78" t="s">
        <v>33</v>
      </c>
      <c r="T31" s="78" t="s">
        <v>50</v>
      </c>
      <c r="U31" s="78" t="s">
        <v>33</v>
      </c>
      <c r="V31" s="78" t="s">
        <v>33</v>
      </c>
      <c r="W31" s="78" t="s">
        <v>33</v>
      </c>
      <c r="X31" s="78" t="s">
        <v>33</v>
      </c>
      <c r="Y31" s="78" t="s">
        <v>33</v>
      </c>
      <c r="Z31" s="78" t="s">
        <v>83</v>
      </c>
      <c r="AA31" s="81">
        <f t="shared" si="0"/>
        <v>-184</v>
      </c>
      <c r="AB31" s="81">
        <f t="shared" si="1"/>
        <v>-52</v>
      </c>
    </row>
    <row r="32" spans="1:28" s="65" customFormat="1" ht="33.75" x14ac:dyDescent="0.25">
      <c r="A32" s="65" t="str">
        <f>VLOOKUP(D32,'[1]WWA Timelines '!$A:$A,1,0)</f>
        <v>LESCHACO</v>
      </c>
      <c r="B32" s="78" t="s">
        <v>1269</v>
      </c>
      <c r="C32" s="78" t="s">
        <v>1274</v>
      </c>
      <c r="D32" s="78" t="s">
        <v>84</v>
      </c>
      <c r="E32" s="78" t="s">
        <v>1322</v>
      </c>
      <c r="F32" s="78" t="s">
        <v>1307</v>
      </c>
      <c r="G32" s="78" t="s">
        <v>31</v>
      </c>
      <c r="H32" s="78" t="s">
        <v>41</v>
      </c>
      <c r="I32" s="79" t="s">
        <v>1281</v>
      </c>
      <c r="J32" s="80">
        <v>46023</v>
      </c>
      <c r="K32" s="80">
        <v>46387</v>
      </c>
      <c r="L32" s="80">
        <v>46174</v>
      </c>
      <c r="M32" s="80">
        <v>46203</v>
      </c>
      <c r="N32" s="80" t="s">
        <v>32</v>
      </c>
      <c r="O32" s="80" t="s">
        <v>32</v>
      </c>
      <c r="P32" s="80"/>
      <c r="Q32" s="80"/>
      <c r="R32" s="78" t="s">
        <v>33</v>
      </c>
      <c r="S32" s="78" t="s">
        <v>33</v>
      </c>
      <c r="T32" s="78" t="s">
        <v>33</v>
      </c>
      <c r="U32" s="78" t="s">
        <v>34</v>
      </c>
      <c r="V32" s="78" t="s">
        <v>34</v>
      </c>
      <c r="W32" s="78" t="s">
        <v>34</v>
      </c>
      <c r="X32" s="78" t="s">
        <v>44</v>
      </c>
      <c r="Y32" s="78" t="s">
        <v>44</v>
      </c>
      <c r="Z32" s="79" t="s">
        <v>47</v>
      </c>
      <c r="AA32" s="81">
        <f t="shared" si="0"/>
        <v>-184</v>
      </c>
      <c r="AB32" s="81">
        <f t="shared" si="1"/>
        <v>-52</v>
      </c>
    </row>
    <row r="33" spans="1:28" s="65" customFormat="1" ht="33.75" hidden="1" x14ac:dyDescent="0.25">
      <c r="A33" s="65" t="str">
        <f>VLOOKUP(D33,'[1]WWA Timelines '!$A:$A,1,0)</f>
        <v>LIGENTIA (RA)</v>
      </c>
      <c r="B33" s="78" t="s">
        <v>296</v>
      </c>
      <c r="C33" s="78" t="s">
        <v>1274</v>
      </c>
      <c r="D33" s="78" t="s">
        <v>85</v>
      </c>
      <c r="E33" s="78" t="s">
        <v>1316</v>
      </c>
      <c r="F33" s="78" t="s">
        <v>37</v>
      </c>
      <c r="G33" s="78" t="s">
        <v>31</v>
      </c>
      <c r="H33" s="78" t="s">
        <v>41</v>
      </c>
      <c r="I33" s="79" t="s">
        <v>1281</v>
      </c>
      <c r="J33" s="80">
        <v>46023</v>
      </c>
      <c r="K33" s="80">
        <v>46387</v>
      </c>
      <c r="L33" s="80">
        <v>46174</v>
      </c>
      <c r="M33" s="80">
        <v>46203</v>
      </c>
      <c r="N33" s="80" t="s">
        <v>32</v>
      </c>
      <c r="O33" s="80" t="s">
        <v>32</v>
      </c>
      <c r="P33" s="80"/>
      <c r="Q33" s="80"/>
      <c r="R33" s="78" t="s">
        <v>33</v>
      </c>
      <c r="S33" s="78" t="s">
        <v>33</v>
      </c>
      <c r="T33" s="78" t="s">
        <v>33</v>
      </c>
      <c r="U33" s="78" t="s">
        <v>34</v>
      </c>
      <c r="V33" s="78" t="s">
        <v>34</v>
      </c>
      <c r="W33" s="78" t="s">
        <v>34</v>
      </c>
      <c r="X33" s="78" t="s">
        <v>34</v>
      </c>
      <c r="Y33" s="78" t="s">
        <v>44</v>
      </c>
      <c r="Z33" s="79" t="s">
        <v>47</v>
      </c>
      <c r="AA33" s="81">
        <f t="shared" si="0"/>
        <v>-184</v>
      </c>
      <c r="AB33" s="81">
        <f t="shared" si="1"/>
        <v>-52</v>
      </c>
    </row>
    <row r="34" spans="1:28" s="65" customFormat="1" ht="33.75" hidden="1" x14ac:dyDescent="0.25">
      <c r="A34" s="65" t="str">
        <f>VLOOKUP(D34,'[1]WWA Timelines '!$A:$A,1,0)</f>
        <v>LOGISTEED (RA)</v>
      </c>
      <c r="B34" s="78" t="s">
        <v>296</v>
      </c>
      <c r="C34" s="78" t="s">
        <v>1273</v>
      </c>
      <c r="D34" s="78" t="s">
        <v>86</v>
      </c>
      <c r="E34" s="78" t="s">
        <v>1239</v>
      </c>
      <c r="F34" s="78" t="s">
        <v>37</v>
      </c>
      <c r="G34" s="78" t="s">
        <v>31</v>
      </c>
      <c r="H34" s="78" t="s">
        <v>41</v>
      </c>
      <c r="I34" s="79" t="s">
        <v>1281</v>
      </c>
      <c r="J34" s="80">
        <v>46023</v>
      </c>
      <c r="K34" s="80">
        <v>46387</v>
      </c>
      <c r="L34" s="80">
        <v>46174</v>
      </c>
      <c r="M34" s="80">
        <v>46203</v>
      </c>
      <c r="N34" s="80" t="s">
        <v>32</v>
      </c>
      <c r="O34" s="80" t="s">
        <v>32</v>
      </c>
      <c r="P34" s="80"/>
      <c r="Q34" s="80"/>
      <c r="R34" s="78" t="s">
        <v>33</v>
      </c>
      <c r="S34" s="78" t="s">
        <v>33</v>
      </c>
      <c r="T34" s="78" t="s">
        <v>33</v>
      </c>
      <c r="U34" s="78" t="s">
        <v>34</v>
      </c>
      <c r="V34" s="78" t="s">
        <v>34</v>
      </c>
      <c r="W34" s="78" t="s">
        <v>34</v>
      </c>
      <c r="X34" s="78" t="s">
        <v>34</v>
      </c>
      <c r="Y34" s="78" t="s">
        <v>32</v>
      </c>
      <c r="Z34" s="79" t="s">
        <v>47</v>
      </c>
      <c r="AA34" s="81">
        <f t="shared" si="0"/>
        <v>-184</v>
      </c>
      <c r="AB34" s="81">
        <f t="shared" si="1"/>
        <v>-52</v>
      </c>
    </row>
    <row r="35" spans="1:28" s="65" customFormat="1" ht="33.75" hidden="1" x14ac:dyDescent="0.25">
      <c r="A35" s="65" t="str">
        <f>VLOOKUP(D35,'[1]WWA Timelines '!$A:$A,1,0)</f>
        <v>MAERSK LOGISTICS GLOBAL</v>
      </c>
      <c r="B35" s="78" t="s">
        <v>1269</v>
      </c>
      <c r="C35" s="78" t="s">
        <v>1273</v>
      </c>
      <c r="D35" s="78" t="s">
        <v>88</v>
      </c>
      <c r="E35" s="78" t="s">
        <v>212</v>
      </c>
      <c r="F35" s="78" t="s">
        <v>1309</v>
      </c>
      <c r="G35" s="78" t="s">
        <v>53</v>
      </c>
      <c r="H35" s="78" t="s">
        <v>41</v>
      </c>
      <c r="I35" s="79" t="s">
        <v>1281</v>
      </c>
      <c r="J35" s="80">
        <v>46204</v>
      </c>
      <c r="K35" s="80">
        <v>46387</v>
      </c>
      <c r="L35" s="80">
        <v>46174</v>
      </c>
      <c r="M35" s="80">
        <v>46203</v>
      </c>
      <c r="N35" s="80"/>
      <c r="O35" s="80"/>
      <c r="P35" s="80"/>
      <c r="Q35" s="80"/>
      <c r="R35" s="78" t="s">
        <v>33</v>
      </c>
      <c r="S35" s="78" t="s">
        <v>33</v>
      </c>
      <c r="T35" s="78" t="s">
        <v>33</v>
      </c>
      <c r="U35" s="78" t="s">
        <v>34</v>
      </c>
      <c r="V35" s="78" t="s">
        <v>34</v>
      </c>
      <c r="W35" s="78" t="s">
        <v>34</v>
      </c>
      <c r="X35" s="78" t="s">
        <v>34</v>
      </c>
      <c r="Y35" s="78" t="s">
        <v>32</v>
      </c>
      <c r="Z35" s="79" t="s">
        <v>47</v>
      </c>
      <c r="AA35" s="81">
        <f t="shared" si="0"/>
        <v>-184</v>
      </c>
      <c r="AB35" s="81">
        <f t="shared" si="1"/>
        <v>-52</v>
      </c>
    </row>
    <row r="36" spans="1:28" s="65" customFormat="1" ht="33.75" hidden="1" x14ac:dyDescent="0.25">
      <c r="A36" s="65" t="str">
        <f>VLOOKUP(D36,'[1]WWA Timelines '!$A:$A,1,0)</f>
        <v>MONDIALE VGL (RA)</v>
      </c>
      <c r="B36" s="78" t="s">
        <v>296</v>
      </c>
      <c r="C36" s="78" t="s">
        <v>1277</v>
      </c>
      <c r="D36" s="78" t="s">
        <v>90</v>
      </c>
      <c r="E36" s="78" t="s">
        <v>1332</v>
      </c>
      <c r="F36" s="78" t="s">
        <v>1325</v>
      </c>
      <c r="G36" s="78" t="s">
        <v>38</v>
      </c>
      <c r="H36" s="78" t="s">
        <v>38</v>
      </c>
      <c r="I36" s="79" t="s">
        <v>1281</v>
      </c>
      <c r="J36" s="80">
        <v>46204</v>
      </c>
      <c r="K36" s="80">
        <v>46295</v>
      </c>
      <c r="L36" s="80">
        <v>46204</v>
      </c>
      <c r="M36" s="80">
        <v>46295</v>
      </c>
      <c r="N36" s="80" t="s">
        <v>32</v>
      </c>
      <c r="O36" s="80" t="s">
        <v>32</v>
      </c>
      <c r="P36" s="80"/>
      <c r="Q36" s="80"/>
      <c r="R36" s="78" t="s">
        <v>33</v>
      </c>
      <c r="S36" s="78" t="s">
        <v>33</v>
      </c>
      <c r="T36" s="78" t="s">
        <v>50</v>
      </c>
      <c r="U36" s="78" t="s">
        <v>34</v>
      </c>
      <c r="V36" s="78" t="s">
        <v>34</v>
      </c>
      <c r="W36" s="78" t="s">
        <v>34</v>
      </c>
      <c r="X36" s="78" t="s">
        <v>34</v>
      </c>
      <c r="Y36" s="78" t="s">
        <v>44</v>
      </c>
      <c r="Z36" s="79" t="s">
        <v>47</v>
      </c>
      <c r="AA36" s="81">
        <f t="shared" ref="AA36:AA54" si="4">IFERROR(NETWORKDAYS(K36,$AC$1),"-")</f>
        <v>-118</v>
      </c>
      <c r="AB36" s="81">
        <f t="shared" ref="AB36:AB54" si="5">IFERROR(NETWORKDAYS(M36,$AC$1),"-")</f>
        <v>-118</v>
      </c>
    </row>
    <row r="37" spans="1:28" s="65" customFormat="1" ht="33.75" hidden="1" x14ac:dyDescent="0.25">
      <c r="A37" s="65" t="str">
        <f>VLOOKUP(D37,'[1]WWA Timelines '!$A:$A,1,0)</f>
        <v>MORRISON EXPRESS (RA)</v>
      </c>
      <c r="B37" s="78" t="s">
        <v>296</v>
      </c>
      <c r="C37" s="78" t="s">
        <v>1274</v>
      </c>
      <c r="D37" s="78" t="s">
        <v>91</v>
      </c>
      <c r="E37" s="78" t="s">
        <v>1326</v>
      </c>
      <c r="F37" s="78" t="s">
        <v>192</v>
      </c>
      <c r="G37" s="78" t="s">
        <v>31</v>
      </c>
      <c r="H37" s="78" t="s">
        <v>41</v>
      </c>
      <c r="I37" s="79" t="s">
        <v>1281</v>
      </c>
      <c r="J37" s="80">
        <v>46023</v>
      </c>
      <c r="K37" s="80">
        <v>46387</v>
      </c>
      <c r="L37" s="80">
        <v>46174</v>
      </c>
      <c r="M37" s="80">
        <v>46203</v>
      </c>
      <c r="N37" s="80" t="s">
        <v>32</v>
      </c>
      <c r="O37" s="80" t="s">
        <v>32</v>
      </c>
      <c r="P37" s="80"/>
      <c r="Q37" s="80"/>
      <c r="R37" s="78" t="s">
        <v>33</v>
      </c>
      <c r="S37" s="78" t="s">
        <v>33</v>
      </c>
      <c r="T37" s="78" t="s">
        <v>33</v>
      </c>
      <c r="U37" s="78" t="s">
        <v>34</v>
      </c>
      <c r="V37" s="78" t="s">
        <v>34</v>
      </c>
      <c r="W37" s="78" t="s">
        <v>34</v>
      </c>
      <c r="X37" s="78" t="s">
        <v>34</v>
      </c>
      <c r="Y37" s="78" t="s">
        <v>44</v>
      </c>
      <c r="Z37" s="79" t="s">
        <v>47</v>
      </c>
      <c r="AA37" s="81">
        <f t="shared" si="4"/>
        <v>-184</v>
      </c>
      <c r="AB37" s="81">
        <f t="shared" si="5"/>
        <v>-52</v>
      </c>
    </row>
    <row r="38" spans="1:28" s="65" customFormat="1" hidden="1" x14ac:dyDescent="0.25">
      <c r="A38" s="65" t="str">
        <f>VLOOKUP(D38,'[1]WWA Timelines '!$A:$A,1,0)</f>
        <v>NIPPON NX</v>
      </c>
      <c r="B38" s="78" t="s">
        <v>1269</v>
      </c>
      <c r="C38" s="78" t="s">
        <v>1277</v>
      </c>
      <c r="D38" s="78" t="s">
        <v>93</v>
      </c>
      <c r="E38" s="78" t="s">
        <v>1313</v>
      </c>
      <c r="F38" s="78" t="s">
        <v>37</v>
      </c>
      <c r="G38" s="78" t="s">
        <v>31</v>
      </c>
      <c r="H38" s="78" t="s">
        <v>38</v>
      </c>
      <c r="I38" s="78" t="s">
        <v>32</v>
      </c>
      <c r="J38" s="80">
        <v>46023</v>
      </c>
      <c r="K38" s="80">
        <v>46387</v>
      </c>
      <c r="L38" s="80">
        <v>46204</v>
      </c>
      <c r="M38" s="80">
        <v>46295</v>
      </c>
      <c r="N38" s="80" t="s">
        <v>32</v>
      </c>
      <c r="O38" s="80" t="s">
        <v>32</v>
      </c>
      <c r="P38" s="80"/>
      <c r="Q38" s="80"/>
      <c r="R38" s="78" t="s">
        <v>38</v>
      </c>
      <c r="S38" s="78" t="s">
        <v>38</v>
      </c>
      <c r="T38" s="78" t="s">
        <v>38</v>
      </c>
      <c r="U38" s="78" t="s">
        <v>32</v>
      </c>
      <c r="V38" s="78" t="s">
        <v>32</v>
      </c>
      <c r="W38" s="78" t="s">
        <v>32</v>
      </c>
      <c r="X38" s="78" t="s">
        <v>32</v>
      </c>
      <c r="Y38" s="78" t="s">
        <v>32</v>
      </c>
      <c r="Z38" s="78"/>
      <c r="AA38" s="81">
        <f t="shared" si="4"/>
        <v>-184</v>
      </c>
      <c r="AB38" s="81">
        <f t="shared" si="5"/>
        <v>-118</v>
      </c>
    </row>
    <row r="39" spans="1:28" s="65" customFormat="1" hidden="1" x14ac:dyDescent="0.25">
      <c r="A39" s="65" t="str">
        <f>VLOOKUP(D39,'[1]WWA Timelines '!$A:$A,1,0)</f>
        <v>NNR</v>
      </c>
      <c r="B39" s="78" t="s">
        <v>1269</v>
      </c>
      <c r="C39" s="78" t="s">
        <v>1279</v>
      </c>
      <c r="D39" s="78" t="s">
        <v>94</v>
      </c>
      <c r="E39" s="78" t="s">
        <v>1313</v>
      </c>
      <c r="F39" s="78" t="s">
        <v>27</v>
      </c>
      <c r="G39" s="78" t="s">
        <v>54</v>
      </c>
      <c r="H39" s="78" t="s">
        <v>54</v>
      </c>
      <c r="I39" s="78" t="s">
        <v>95</v>
      </c>
      <c r="J39" s="80">
        <v>46189</v>
      </c>
      <c r="K39" s="80">
        <v>46203</v>
      </c>
      <c r="L39" s="80">
        <v>46189</v>
      </c>
      <c r="M39" s="80">
        <v>46203</v>
      </c>
      <c r="N39" s="80"/>
      <c r="O39" s="80"/>
      <c r="P39" s="80"/>
      <c r="Q39" s="80"/>
      <c r="R39" s="78" t="s">
        <v>96</v>
      </c>
      <c r="S39" s="78" t="s">
        <v>96</v>
      </c>
      <c r="T39" s="78" t="s">
        <v>96</v>
      </c>
      <c r="U39" s="78" t="s">
        <v>32</v>
      </c>
      <c r="V39" s="78" t="s">
        <v>32</v>
      </c>
      <c r="W39" s="78" t="s">
        <v>32</v>
      </c>
      <c r="X39" s="78"/>
      <c r="Y39" s="78"/>
      <c r="Z39" s="78"/>
      <c r="AA39" s="81">
        <f t="shared" si="4"/>
        <v>-52</v>
      </c>
      <c r="AB39" s="81">
        <f t="shared" si="5"/>
        <v>-52</v>
      </c>
    </row>
    <row r="40" spans="1:28" s="65" customFormat="1" ht="33.75" hidden="1" x14ac:dyDescent="0.25">
      <c r="A40" s="65" t="str">
        <f>VLOOKUP(D40,'[1]WWA Timelines '!$A:$A,1,0)</f>
        <v>NTG AIR &amp; OCEAN</v>
      </c>
      <c r="B40" s="78" t="s">
        <v>1269</v>
      </c>
      <c r="C40" s="78" t="s">
        <v>1279</v>
      </c>
      <c r="D40" s="78" t="s">
        <v>98</v>
      </c>
      <c r="E40" s="78" t="s">
        <v>212</v>
      </c>
      <c r="F40" s="78" t="s">
        <v>1309</v>
      </c>
      <c r="G40" s="78" t="s">
        <v>31</v>
      </c>
      <c r="H40" s="78" t="s">
        <v>41</v>
      </c>
      <c r="I40" s="79" t="s">
        <v>1281</v>
      </c>
      <c r="J40" s="80">
        <v>46174</v>
      </c>
      <c r="K40" s="80">
        <v>46387</v>
      </c>
      <c r="L40" s="80">
        <v>46174</v>
      </c>
      <c r="M40" s="80">
        <v>46203</v>
      </c>
      <c r="N40" s="80" t="s">
        <v>32</v>
      </c>
      <c r="O40" s="80" t="s">
        <v>32</v>
      </c>
      <c r="P40" s="80"/>
      <c r="Q40" s="80"/>
      <c r="R40" s="78" t="s">
        <v>33</v>
      </c>
      <c r="S40" s="78" t="s">
        <v>33</v>
      </c>
      <c r="T40" s="78" t="s">
        <v>33</v>
      </c>
      <c r="U40" s="78" t="s">
        <v>34</v>
      </c>
      <c r="V40" s="78" t="s">
        <v>34</v>
      </c>
      <c r="W40" s="78" t="s">
        <v>34</v>
      </c>
      <c r="X40" s="78" t="s">
        <v>34</v>
      </c>
      <c r="Y40" s="78" t="s">
        <v>32</v>
      </c>
      <c r="Z40" s="78"/>
      <c r="AA40" s="81">
        <f t="shared" si="4"/>
        <v>-184</v>
      </c>
      <c r="AB40" s="81">
        <f t="shared" si="5"/>
        <v>-52</v>
      </c>
    </row>
    <row r="41" spans="1:28" s="65" customFormat="1" ht="33.75" hidden="1" x14ac:dyDescent="0.25">
      <c r="A41" s="65" t="str">
        <f>VLOOKUP(D41,'[1]WWA Timelines '!$A:$A,1,0)</f>
        <v>OIA</v>
      </c>
      <c r="B41" s="78" t="s">
        <v>1269</v>
      </c>
      <c r="C41" s="78" t="s">
        <v>1276</v>
      </c>
      <c r="D41" s="78" t="s">
        <v>99</v>
      </c>
      <c r="E41" s="78" t="s">
        <v>1326</v>
      </c>
      <c r="F41" s="78" t="s">
        <v>1318</v>
      </c>
      <c r="G41" s="78" t="s">
        <v>38</v>
      </c>
      <c r="H41" s="78" t="s">
        <v>38</v>
      </c>
      <c r="I41" s="79" t="s">
        <v>1281</v>
      </c>
      <c r="J41" s="80">
        <v>46204</v>
      </c>
      <c r="K41" s="80">
        <v>46295</v>
      </c>
      <c r="L41" s="80">
        <v>46204</v>
      </c>
      <c r="M41" s="80">
        <v>46295</v>
      </c>
      <c r="N41" s="80"/>
      <c r="O41" s="80"/>
      <c r="P41" s="80"/>
      <c r="Q41" s="80"/>
      <c r="R41" s="78" t="s">
        <v>33</v>
      </c>
      <c r="S41" s="78" t="s">
        <v>33</v>
      </c>
      <c r="T41" s="78" t="s">
        <v>64</v>
      </c>
      <c r="U41" s="78" t="s">
        <v>34</v>
      </c>
      <c r="V41" s="78" t="s">
        <v>34</v>
      </c>
      <c r="W41" s="78" t="s">
        <v>34</v>
      </c>
      <c r="X41" s="78" t="s">
        <v>34</v>
      </c>
      <c r="Y41" s="78" t="s">
        <v>32</v>
      </c>
      <c r="Z41" s="79" t="s">
        <v>47</v>
      </c>
      <c r="AA41" s="81">
        <f t="shared" si="4"/>
        <v>-118</v>
      </c>
      <c r="AB41" s="81">
        <f t="shared" si="5"/>
        <v>-118</v>
      </c>
    </row>
    <row r="42" spans="1:28" s="65" customFormat="1" ht="33.75" hidden="1" x14ac:dyDescent="0.25">
      <c r="A42" s="65" t="str">
        <f>VLOOKUP(D42,'[1]WWA Timelines '!$A:$A,1,0)</f>
        <v>PSA BDP</v>
      </c>
      <c r="B42" s="78" t="s">
        <v>1269</v>
      </c>
      <c r="C42" s="78" t="s">
        <v>1273</v>
      </c>
      <c r="D42" s="78" t="s">
        <v>101</v>
      </c>
      <c r="E42" s="78" t="s">
        <v>1308</v>
      </c>
      <c r="F42" s="78" t="s">
        <v>1309</v>
      </c>
      <c r="G42" s="78" t="s">
        <v>31</v>
      </c>
      <c r="H42" s="78" t="s">
        <v>41</v>
      </c>
      <c r="I42" s="79" t="s">
        <v>1281</v>
      </c>
      <c r="J42" s="80">
        <v>46023</v>
      </c>
      <c r="K42" s="80">
        <v>46387</v>
      </c>
      <c r="L42" s="80">
        <v>46174</v>
      </c>
      <c r="M42" s="80">
        <v>46203</v>
      </c>
      <c r="N42" s="80" t="s">
        <v>32</v>
      </c>
      <c r="O42" s="80" t="s">
        <v>32</v>
      </c>
      <c r="P42" s="80"/>
      <c r="Q42" s="80"/>
      <c r="R42" s="78" t="s">
        <v>33</v>
      </c>
      <c r="S42" s="78" t="s">
        <v>33</v>
      </c>
      <c r="T42" s="78" t="s">
        <v>33</v>
      </c>
      <c r="U42" s="78" t="s">
        <v>34</v>
      </c>
      <c r="V42" s="78" t="s">
        <v>34</v>
      </c>
      <c r="W42" s="78" t="s">
        <v>34</v>
      </c>
      <c r="X42" s="78" t="s">
        <v>34</v>
      </c>
      <c r="Y42" s="78" t="s">
        <v>32</v>
      </c>
      <c r="Z42" s="79" t="s">
        <v>47</v>
      </c>
      <c r="AA42" s="81">
        <f t="shared" si="4"/>
        <v>-184</v>
      </c>
      <c r="AB42" s="81">
        <f t="shared" si="5"/>
        <v>-52</v>
      </c>
    </row>
    <row r="43" spans="1:28" s="65" customFormat="1" ht="33.75" hidden="1" x14ac:dyDescent="0.25">
      <c r="A43" s="65" t="str">
        <f>VLOOKUP(D43,'[1]WWA Timelines '!$A:$A,1,0)</f>
        <v>RHENUS</v>
      </c>
      <c r="B43" s="78" t="s">
        <v>1269</v>
      </c>
      <c r="C43" s="78" t="s">
        <v>1272</v>
      </c>
      <c r="D43" s="78" t="s">
        <v>102</v>
      </c>
      <c r="E43" s="78" t="s">
        <v>1313</v>
      </c>
      <c r="F43" s="78" t="s">
        <v>37</v>
      </c>
      <c r="G43" s="78" t="s">
        <v>31</v>
      </c>
      <c r="H43" s="78" t="s">
        <v>41</v>
      </c>
      <c r="I43" s="79" t="s">
        <v>1281</v>
      </c>
      <c r="J43" s="80">
        <v>45748</v>
      </c>
      <c r="K43" s="80">
        <v>46477</v>
      </c>
      <c r="L43" s="80">
        <v>46174</v>
      </c>
      <c r="M43" s="80">
        <v>46203</v>
      </c>
      <c r="N43" s="80" t="s">
        <v>32</v>
      </c>
      <c r="O43" s="80" t="s">
        <v>32</v>
      </c>
      <c r="P43" s="80"/>
      <c r="Q43" s="80"/>
      <c r="R43" s="78" t="s">
        <v>33</v>
      </c>
      <c r="S43" s="78" t="s">
        <v>33</v>
      </c>
      <c r="T43" s="78" t="s">
        <v>38</v>
      </c>
      <c r="U43" s="78" t="s">
        <v>34</v>
      </c>
      <c r="V43" s="78" t="s">
        <v>34</v>
      </c>
      <c r="W43" s="78" t="s">
        <v>34</v>
      </c>
      <c r="X43" s="78" t="s">
        <v>34</v>
      </c>
      <c r="Y43" s="78" t="s">
        <v>44</v>
      </c>
      <c r="Z43" s="78"/>
      <c r="AA43" s="81">
        <f t="shared" si="4"/>
        <v>-248</v>
      </c>
      <c r="AB43" s="81">
        <f t="shared" si="5"/>
        <v>-52</v>
      </c>
    </row>
    <row r="44" spans="1:28" s="65" customFormat="1" ht="33.75" hidden="1" x14ac:dyDescent="0.25">
      <c r="A44" s="65" t="str">
        <f>VLOOKUP(D44,'[1]WWA Timelines '!$A:$A,1,0)</f>
        <v>RIM LOGISTICS</v>
      </c>
      <c r="B44" s="78" t="s">
        <v>1269</v>
      </c>
      <c r="C44" s="78" t="s">
        <v>1272</v>
      </c>
      <c r="D44" s="78" t="s">
        <v>103</v>
      </c>
      <c r="E44" s="78" t="s">
        <v>1305</v>
      </c>
      <c r="F44" s="78" t="s">
        <v>1309</v>
      </c>
      <c r="G44" s="78" t="s">
        <v>31</v>
      </c>
      <c r="H44" s="78" t="s">
        <v>41</v>
      </c>
      <c r="I44" s="79" t="s">
        <v>1281</v>
      </c>
      <c r="J44" s="80">
        <v>46023</v>
      </c>
      <c r="K44" s="80">
        <v>46387</v>
      </c>
      <c r="L44" s="80">
        <v>46174</v>
      </c>
      <c r="M44" s="80">
        <v>46203</v>
      </c>
      <c r="N44" s="80" t="s">
        <v>32</v>
      </c>
      <c r="O44" s="80" t="s">
        <v>32</v>
      </c>
      <c r="P44" s="80"/>
      <c r="Q44" s="80"/>
      <c r="R44" s="78" t="s">
        <v>33</v>
      </c>
      <c r="S44" s="78" t="s">
        <v>33</v>
      </c>
      <c r="T44" s="78" t="s">
        <v>38</v>
      </c>
      <c r="U44" s="78" t="s">
        <v>34</v>
      </c>
      <c r="V44" s="78" t="s">
        <v>34</v>
      </c>
      <c r="W44" s="78" t="s">
        <v>34</v>
      </c>
      <c r="X44" s="78" t="s">
        <v>34</v>
      </c>
      <c r="Y44" s="78" t="s">
        <v>32</v>
      </c>
      <c r="Z44" s="79" t="s">
        <v>47</v>
      </c>
      <c r="AA44" s="81">
        <f t="shared" si="4"/>
        <v>-184</v>
      </c>
      <c r="AB44" s="81">
        <f t="shared" si="5"/>
        <v>-52</v>
      </c>
    </row>
    <row r="45" spans="1:28" s="65" customFormat="1" ht="33.75" hidden="1" x14ac:dyDescent="0.25">
      <c r="A45" s="65" t="str">
        <f>VLOOKUP(D45,'[1]WWA Timelines '!$A:$A,1,0)</f>
        <v>ROHLIG</v>
      </c>
      <c r="B45" s="78" t="s">
        <v>1269</v>
      </c>
      <c r="C45" s="78" t="s">
        <v>1272</v>
      </c>
      <c r="D45" s="78" t="s">
        <v>104</v>
      </c>
      <c r="E45" s="78" t="s">
        <v>1322</v>
      </c>
      <c r="F45" s="78" t="s">
        <v>1307</v>
      </c>
      <c r="G45" s="78" t="s">
        <v>31</v>
      </c>
      <c r="H45" s="78" t="s">
        <v>41</v>
      </c>
      <c r="I45" s="79" t="s">
        <v>1281</v>
      </c>
      <c r="J45" s="80">
        <v>46023</v>
      </c>
      <c r="K45" s="80">
        <v>46387</v>
      </c>
      <c r="L45" s="80">
        <v>46174</v>
      </c>
      <c r="M45" s="80">
        <v>46203</v>
      </c>
      <c r="N45" s="80" t="s">
        <v>32</v>
      </c>
      <c r="O45" s="80" t="s">
        <v>32</v>
      </c>
      <c r="P45" s="80"/>
      <c r="Q45" s="80"/>
      <c r="R45" s="78" t="s">
        <v>33</v>
      </c>
      <c r="S45" s="78" t="s">
        <v>33</v>
      </c>
      <c r="T45" s="78" t="s">
        <v>38</v>
      </c>
      <c r="U45" s="78" t="s">
        <v>34</v>
      </c>
      <c r="V45" s="78" t="s">
        <v>34</v>
      </c>
      <c r="W45" s="78" t="s">
        <v>34</v>
      </c>
      <c r="X45" s="78" t="s">
        <v>34</v>
      </c>
      <c r="Y45" s="78" t="s">
        <v>44</v>
      </c>
      <c r="Z45" s="79" t="s">
        <v>47</v>
      </c>
      <c r="AA45" s="81">
        <f t="shared" si="4"/>
        <v>-184</v>
      </c>
      <c r="AB45" s="81">
        <f t="shared" si="5"/>
        <v>-52</v>
      </c>
    </row>
    <row r="46" spans="1:28" s="65" customFormat="1" hidden="1" x14ac:dyDescent="0.25">
      <c r="A46" s="65" t="str">
        <f>VLOOKUP(D46,'[1]WWA Timelines '!$A:$A,1,0)</f>
        <v>SCAN GLOBAL LOGISTICS</v>
      </c>
      <c r="B46" s="78" t="s">
        <v>1269</v>
      </c>
      <c r="C46" s="78" t="s">
        <v>1278</v>
      </c>
      <c r="D46" s="78" t="s">
        <v>105</v>
      </c>
      <c r="E46" s="78" t="s">
        <v>212</v>
      </c>
      <c r="F46" s="78" t="s">
        <v>1309</v>
      </c>
      <c r="G46" s="78" t="s">
        <v>31</v>
      </c>
      <c r="H46" s="78" t="s">
        <v>54</v>
      </c>
      <c r="I46" s="78" t="s">
        <v>39</v>
      </c>
      <c r="J46" s="80">
        <v>46023</v>
      </c>
      <c r="K46" s="80">
        <v>46387</v>
      </c>
      <c r="L46" s="80">
        <v>46189</v>
      </c>
      <c r="M46" s="80">
        <v>46203</v>
      </c>
      <c r="N46" s="80" t="s">
        <v>32</v>
      </c>
      <c r="O46" s="80" t="s">
        <v>32</v>
      </c>
      <c r="P46" s="80"/>
      <c r="Q46" s="80"/>
      <c r="R46" s="78" t="s">
        <v>39</v>
      </c>
      <c r="S46" s="78" t="s">
        <v>39</v>
      </c>
      <c r="T46" s="78" t="s">
        <v>39</v>
      </c>
      <c r="U46" s="78" t="s">
        <v>39</v>
      </c>
      <c r="V46" s="78" t="s">
        <v>39</v>
      </c>
      <c r="W46" s="78" t="s">
        <v>39</v>
      </c>
      <c r="X46" s="78" t="s">
        <v>39</v>
      </c>
      <c r="Y46" s="78" t="s">
        <v>32</v>
      </c>
      <c r="Z46" s="78"/>
      <c r="AA46" s="81">
        <f t="shared" si="4"/>
        <v>-184</v>
      </c>
      <c r="AB46" s="81">
        <f t="shared" si="5"/>
        <v>-52</v>
      </c>
    </row>
    <row r="47" spans="1:28" s="65" customFormat="1" ht="33.75" hidden="1" x14ac:dyDescent="0.25">
      <c r="A47" s="65" t="str">
        <f>VLOOKUP(D47,'[1]WWA Timelines '!$A:$A,1,0)</f>
        <v>SCAN-SHIPPING (RA)</v>
      </c>
      <c r="B47" s="78" t="s">
        <v>296</v>
      </c>
      <c r="C47" s="78" t="s">
        <v>1273</v>
      </c>
      <c r="D47" s="78" t="s">
        <v>106</v>
      </c>
      <c r="E47" s="78" t="s">
        <v>1327</v>
      </c>
      <c r="F47" s="78" t="s">
        <v>1328</v>
      </c>
      <c r="G47" s="78" t="s">
        <v>31</v>
      </c>
      <c r="H47" s="78" t="s">
        <v>41</v>
      </c>
      <c r="I47" s="79" t="s">
        <v>1281</v>
      </c>
      <c r="J47" s="80">
        <v>46023</v>
      </c>
      <c r="K47" s="80">
        <v>46387</v>
      </c>
      <c r="L47" s="80">
        <v>46174</v>
      </c>
      <c r="M47" s="80">
        <v>46203</v>
      </c>
      <c r="N47" s="80"/>
      <c r="O47" s="80"/>
      <c r="P47" s="80"/>
      <c r="Q47" s="80"/>
      <c r="R47" s="78" t="s">
        <v>33</v>
      </c>
      <c r="S47" s="78" t="s">
        <v>33</v>
      </c>
      <c r="T47" s="78" t="s">
        <v>33</v>
      </c>
      <c r="U47" s="78" t="s">
        <v>34</v>
      </c>
      <c r="V47" s="78" t="s">
        <v>34</v>
      </c>
      <c r="W47" s="78" t="s">
        <v>34</v>
      </c>
      <c r="X47" s="78" t="s">
        <v>34</v>
      </c>
      <c r="Y47" s="78" t="s">
        <v>32</v>
      </c>
      <c r="Z47" s="79" t="s">
        <v>47</v>
      </c>
      <c r="AA47" s="81">
        <f t="shared" si="4"/>
        <v>-184</v>
      </c>
      <c r="AB47" s="81">
        <f t="shared" si="5"/>
        <v>-52</v>
      </c>
    </row>
    <row r="48" spans="1:28" s="65" customFormat="1" ht="33.75" hidden="1" x14ac:dyDescent="0.25">
      <c r="A48" s="65" t="str">
        <f>VLOOKUP(D48,'[1]WWA Timelines '!$A:$A,1,0)</f>
        <v>SEKO</v>
      </c>
      <c r="B48" s="78" t="s">
        <v>1269</v>
      </c>
      <c r="C48" s="78" t="s">
        <v>1276</v>
      </c>
      <c r="D48" s="78" t="s">
        <v>107</v>
      </c>
      <c r="E48" s="78" t="s">
        <v>1313</v>
      </c>
      <c r="F48" s="78" t="s">
        <v>37</v>
      </c>
      <c r="G48" s="78" t="s">
        <v>108</v>
      </c>
      <c r="H48" s="78" t="s">
        <v>41</v>
      </c>
      <c r="I48" s="79" t="s">
        <v>1281</v>
      </c>
      <c r="J48" s="80">
        <v>46113</v>
      </c>
      <c r="K48" s="80">
        <v>46387</v>
      </c>
      <c r="L48" s="80">
        <v>46174</v>
      </c>
      <c r="M48" s="80">
        <v>46203</v>
      </c>
      <c r="N48" s="80" t="s">
        <v>32</v>
      </c>
      <c r="O48" s="80" t="s">
        <v>32</v>
      </c>
      <c r="P48" s="80"/>
      <c r="Q48" s="80"/>
      <c r="R48" s="78" t="s">
        <v>33</v>
      </c>
      <c r="S48" s="78" t="s">
        <v>33</v>
      </c>
      <c r="T48" s="78" t="s">
        <v>33</v>
      </c>
      <c r="U48" s="78" t="s">
        <v>34</v>
      </c>
      <c r="V48" s="78" t="s">
        <v>34</v>
      </c>
      <c r="W48" s="78" t="s">
        <v>34</v>
      </c>
      <c r="X48" s="78" t="s">
        <v>34</v>
      </c>
      <c r="Y48" s="78" t="s">
        <v>34</v>
      </c>
      <c r="Z48" s="79" t="s">
        <v>47</v>
      </c>
      <c r="AA48" s="81">
        <f t="shared" si="4"/>
        <v>-184</v>
      </c>
      <c r="AB48" s="81">
        <f t="shared" si="5"/>
        <v>-52</v>
      </c>
    </row>
    <row r="49" spans="1:28" s="65" customFormat="1" ht="33.75" hidden="1" x14ac:dyDescent="0.25">
      <c r="A49" s="65" t="str">
        <f>VLOOKUP(D49,'[1]WWA Timelines '!$A:$A,1,0)</f>
        <v>TOLL GLOBAL FORWARDING</v>
      </c>
      <c r="B49" s="78" t="s">
        <v>1269</v>
      </c>
      <c r="C49" s="78" t="s">
        <v>1278</v>
      </c>
      <c r="D49" s="83" t="s">
        <v>109</v>
      </c>
      <c r="E49" s="78" t="s">
        <v>1313</v>
      </c>
      <c r="F49" s="78" t="s">
        <v>37</v>
      </c>
      <c r="G49" s="78" t="s">
        <v>31</v>
      </c>
      <c r="H49" s="78" t="s">
        <v>41</v>
      </c>
      <c r="I49" s="79" t="s">
        <v>1281</v>
      </c>
      <c r="J49" s="80">
        <v>46023</v>
      </c>
      <c r="K49" s="80">
        <v>46387</v>
      </c>
      <c r="L49" s="80">
        <v>46174</v>
      </c>
      <c r="M49" s="80">
        <v>46203</v>
      </c>
      <c r="N49" s="80" t="s">
        <v>32</v>
      </c>
      <c r="O49" s="80" t="s">
        <v>32</v>
      </c>
      <c r="P49" s="80"/>
      <c r="Q49" s="80"/>
      <c r="R49" s="78" t="s">
        <v>33</v>
      </c>
      <c r="S49" s="78" t="s">
        <v>33</v>
      </c>
      <c r="T49" s="78" t="s">
        <v>38</v>
      </c>
      <c r="U49" s="78" t="s">
        <v>34</v>
      </c>
      <c r="V49" s="78" t="s">
        <v>34</v>
      </c>
      <c r="W49" s="78" t="s">
        <v>34</v>
      </c>
      <c r="X49" s="78" t="s">
        <v>34</v>
      </c>
      <c r="Y49" s="78" t="s">
        <v>44</v>
      </c>
      <c r="Z49" s="78"/>
      <c r="AA49" s="81">
        <f t="shared" si="4"/>
        <v>-184</v>
      </c>
      <c r="AB49" s="81">
        <f t="shared" si="5"/>
        <v>-52</v>
      </c>
    </row>
    <row r="50" spans="1:28" s="65" customFormat="1" hidden="1" x14ac:dyDescent="0.25">
      <c r="A50" s="65" t="str">
        <f>VLOOKUP(D50,'[1]WWA Timelines '!$A:$A,1,0)</f>
        <v>UPS GLOBAL</v>
      </c>
      <c r="B50" s="78" t="s">
        <v>1269</v>
      </c>
      <c r="C50" s="78" t="s">
        <v>1280</v>
      </c>
      <c r="D50" s="78" t="s">
        <v>1294</v>
      </c>
      <c r="E50" s="78" t="s">
        <v>1329</v>
      </c>
      <c r="F50" s="78" t="s">
        <v>1329</v>
      </c>
      <c r="G50" s="78" t="s">
        <v>31</v>
      </c>
      <c r="H50" s="78" t="s">
        <v>41</v>
      </c>
      <c r="I50" s="78" t="s">
        <v>39</v>
      </c>
      <c r="J50" s="80">
        <v>46082</v>
      </c>
      <c r="K50" s="80">
        <v>46387</v>
      </c>
      <c r="L50" s="80">
        <v>46174</v>
      </c>
      <c r="M50" s="80">
        <v>46203</v>
      </c>
      <c r="N50" s="80" t="s">
        <v>32</v>
      </c>
      <c r="O50" s="80" t="s">
        <v>32</v>
      </c>
      <c r="P50" s="80"/>
      <c r="Q50" s="80"/>
      <c r="R50" s="78" t="s">
        <v>33</v>
      </c>
      <c r="S50" s="78" t="s">
        <v>33</v>
      </c>
      <c r="T50" s="78" t="s">
        <v>33</v>
      </c>
      <c r="U50" s="78" t="s">
        <v>39</v>
      </c>
      <c r="V50" s="78" t="s">
        <v>39</v>
      </c>
      <c r="W50" s="78" t="s">
        <v>39</v>
      </c>
      <c r="X50" s="78" t="s">
        <v>39</v>
      </c>
      <c r="Y50" s="78" t="s">
        <v>44</v>
      </c>
      <c r="Z50" s="78"/>
      <c r="AA50" s="81">
        <f t="shared" si="4"/>
        <v>-184</v>
      </c>
      <c r="AB50" s="81">
        <f t="shared" si="5"/>
        <v>-52</v>
      </c>
    </row>
    <row r="51" spans="1:28" s="65" customFormat="1" ht="33.75" hidden="1" x14ac:dyDescent="0.25">
      <c r="A51" s="65" t="str">
        <f>VLOOKUP(D51,'[1]WWA Timelines '!$A:$A,1,0)</f>
        <v>YUSEN INTRA ASIA</v>
      </c>
      <c r="B51" s="78" t="s">
        <v>1269</v>
      </c>
      <c r="C51" s="78" t="s">
        <v>1275</v>
      </c>
      <c r="D51" s="78" t="s">
        <v>110</v>
      </c>
      <c r="E51" s="78" t="s">
        <v>1313</v>
      </c>
      <c r="F51" s="78" t="s">
        <v>37</v>
      </c>
      <c r="G51" s="78" t="s">
        <v>53</v>
      </c>
      <c r="H51" s="78" t="s">
        <v>53</v>
      </c>
      <c r="I51" s="79" t="s">
        <v>1281</v>
      </c>
      <c r="J51" s="80">
        <v>46113</v>
      </c>
      <c r="K51" s="80">
        <v>46295</v>
      </c>
      <c r="L51" s="80">
        <v>46113</v>
      </c>
      <c r="M51" s="80">
        <v>46295</v>
      </c>
      <c r="N51" s="80"/>
      <c r="O51" s="80"/>
      <c r="P51" s="80"/>
      <c r="Q51" s="80"/>
      <c r="R51" s="78" t="s">
        <v>33</v>
      </c>
      <c r="S51" s="78" t="s">
        <v>33</v>
      </c>
      <c r="T51" s="78" t="s">
        <v>60</v>
      </c>
      <c r="U51" s="78" t="s">
        <v>34</v>
      </c>
      <c r="V51" s="78" t="s">
        <v>34</v>
      </c>
      <c r="W51" s="78" t="s">
        <v>34</v>
      </c>
      <c r="X51" s="78" t="s">
        <v>34</v>
      </c>
      <c r="Y51" s="78" t="s">
        <v>32</v>
      </c>
      <c r="Z51" s="79" t="s">
        <v>47</v>
      </c>
      <c r="AA51" s="81">
        <f t="shared" si="4"/>
        <v>-118</v>
      </c>
      <c r="AB51" s="81">
        <f t="shared" si="5"/>
        <v>-118</v>
      </c>
    </row>
    <row r="52" spans="1:28" s="65" customFormat="1" ht="33.75" hidden="1" x14ac:dyDescent="0.25">
      <c r="A52" s="65" t="str">
        <f>VLOOKUP(D52,'[1]WWA Timelines '!$A:$A,1,0)</f>
        <v>YUSEN (USA) IMP/EXP</v>
      </c>
      <c r="B52" s="78" t="s">
        <v>1269</v>
      </c>
      <c r="C52" s="78" t="s">
        <v>1275</v>
      </c>
      <c r="D52" s="78" t="s">
        <v>111</v>
      </c>
      <c r="E52" s="78" t="s">
        <v>1310</v>
      </c>
      <c r="F52" s="78" t="s">
        <v>1318</v>
      </c>
      <c r="G52" s="78" t="s">
        <v>38</v>
      </c>
      <c r="H52" s="78" t="s">
        <v>38</v>
      </c>
      <c r="I52" s="79" t="s">
        <v>1281</v>
      </c>
      <c r="J52" s="80">
        <v>46204</v>
      </c>
      <c r="K52" s="80">
        <v>46295</v>
      </c>
      <c r="L52" s="80">
        <v>46204</v>
      </c>
      <c r="M52" s="80">
        <v>46295</v>
      </c>
      <c r="N52" s="80" t="s">
        <v>32</v>
      </c>
      <c r="O52" s="80" t="s">
        <v>32</v>
      </c>
      <c r="P52" s="80"/>
      <c r="Q52" s="80"/>
      <c r="R52" s="78" t="s">
        <v>33</v>
      </c>
      <c r="S52" s="78" t="s">
        <v>33</v>
      </c>
      <c r="T52" s="78" t="s">
        <v>38</v>
      </c>
      <c r="U52" s="78" t="s">
        <v>34</v>
      </c>
      <c r="V52" s="78" t="s">
        <v>34</v>
      </c>
      <c r="W52" s="78" t="s">
        <v>34</v>
      </c>
      <c r="X52" s="78" t="s">
        <v>34</v>
      </c>
      <c r="Y52" s="78" t="s">
        <v>32</v>
      </c>
      <c r="Z52" s="79" t="s">
        <v>47</v>
      </c>
      <c r="AA52" s="81">
        <f t="shared" si="4"/>
        <v>-118</v>
      </c>
      <c r="AB52" s="81">
        <f t="shared" si="5"/>
        <v>-118</v>
      </c>
    </row>
    <row r="53" spans="1:28" s="65" customFormat="1" ht="33.75" hidden="1" x14ac:dyDescent="0.25">
      <c r="A53" s="65" t="str">
        <f>VLOOKUP(D53,'[1]WWA Timelines '!$A:$A,1,0)</f>
        <v>YUSEN EUROPE</v>
      </c>
      <c r="B53" s="78" t="s">
        <v>1269</v>
      </c>
      <c r="C53" s="78" t="s">
        <v>1275</v>
      </c>
      <c r="D53" s="78" t="s">
        <v>112</v>
      </c>
      <c r="E53" s="78" t="s">
        <v>1302</v>
      </c>
      <c r="F53" s="78" t="s">
        <v>179</v>
      </c>
      <c r="G53" s="78" t="s">
        <v>38</v>
      </c>
      <c r="H53" s="78" t="s">
        <v>38</v>
      </c>
      <c r="I53" s="79" t="s">
        <v>1281</v>
      </c>
      <c r="J53" s="80">
        <v>46204</v>
      </c>
      <c r="K53" s="80">
        <v>46295</v>
      </c>
      <c r="L53" s="80">
        <v>46204</v>
      </c>
      <c r="M53" s="80">
        <v>46295</v>
      </c>
      <c r="N53" s="80"/>
      <c r="O53" s="80"/>
      <c r="P53" s="80"/>
      <c r="Q53" s="80"/>
      <c r="R53" s="78" t="s">
        <v>33</v>
      </c>
      <c r="S53" s="78" t="s">
        <v>33</v>
      </c>
      <c r="T53" s="78" t="s">
        <v>64</v>
      </c>
      <c r="U53" s="78" t="s">
        <v>34</v>
      </c>
      <c r="V53" s="78" t="s">
        <v>34</v>
      </c>
      <c r="W53" s="78" t="s">
        <v>34</v>
      </c>
      <c r="X53" s="78" t="s">
        <v>34</v>
      </c>
      <c r="Y53" s="78" t="s">
        <v>44</v>
      </c>
      <c r="Z53" s="78"/>
      <c r="AA53" s="81">
        <f t="shared" si="4"/>
        <v>-118</v>
      </c>
      <c r="AB53" s="81">
        <f t="shared" si="5"/>
        <v>-118</v>
      </c>
    </row>
    <row r="54" spans="1:28" s="65" customFormat="1" ht="33.75" hidden="1" x14ac:dyDescent="0.25">
      <c r="A54" s="65" t="str">
        <f>VLOOKUP(D54,'[1]WWA Timelines '!$A:$A,1,0)</f>
        <v>YUSEN LATAM (IMPORT)</v>
      </c>
      <c r="B54" s="78" t="s">
        <v>1269</v>
      </c>
      <c r="C54" s="78" t="s">
        <v>1275</v>
      </c>
      <c r="D54" s="78" t="s">
        <v>114</v>
      </c>
      <c r="E54" s="78" t="s">
        <v>1313</v>
      </c>
      <c r="F54" s="78" t="s">
        <v>37</v>
      </c>
      <c r="G54" s="78" t="s">
        <v>53</v>
      </c>
      <c r="H54" s="78" t="s">
        <v>53</v>
      </c>
      <c r="I54" s="79" t="s">
        <v>1281</v>
      </c>
      <c r="J54" s="80">
        <v>46113</v>
      </c>
      <c r="K54" s="80">
        <v>46295</v>
      </c>
      <c r="L54" s="80">
        <v>46113</v>
      </c>
      <c r="M54" s="80">
        <v>46295</v>
      </c>
      <c r="N54" s="80"/>
      <c r="O54" s="80"/>
      <c r="P54" s="80"/>
      <c r="Q54" s="80"/>
      <c r="R54" s="78" t="s">
        <v>33</v>
      </c>
      <c r="S54" s="78" t="s">
        <v>33</v>
      </c>
      <c r="T54" s="78" t="s">
        <v>38</v>
      </c>
      <c r="U54" s="78" t="s">
        <v>34</v>
      </c>
      <c r="V54" s="78" t="s">
        <v>34</v>
      </c>
      <c r="W54" s="78" t="s">
        <v>34</v>
      </c>
      <c r="X54" s="78" t="s">
        <v>34</v>
      </c>
      <c r="Y54" s="78" t="s">
        <v>32</v>
      </c>
      <c r="Z54" s="79" t="s">
        <v>47</v>
      </c>
      <c r="AA54" s="81">
        <f t="shared" si="4"/>
        <v>-118</v>
      </c>
      <c r="AB54" s="81">
        <f t="shared" si="5"/>
        <v>-118</v>
      </c>
    </row>
  </sheetData>
  <autoFilter ref="A2:AC54" xr:uid="{3FFA10AB-E158-4E15-8A54-3601FC1276C5}">
    <filterColumn colId="23">
      <filters>
        <filter val="EXCL. AS PER ADVISORY"/>
      </filters>
    </filterColumn>
  </autoFilter>
  <mergeCells count="5">
    <mergeCell ref="AA1:AB1"/>
    <mergeCell ref="E1:F1"/>
    <mergeCell ref="G1:M1"/>
    <mergeCell ref="R1:Z1"/>
    <mergeCell ref="N1:Q1"/>
  </mergeCells>
  <conditionalFormatting sqref="AA3:AB54">
    <cfRule type="cellIs" dxfId="29" priority="1" operator="greaterThan">
      <formula>-30</formula>
    </cfRule>
  </conditionalFormatting>
  <dataValidations count="1">
    <dataValidation type="list" allowBlank="1" showInputMessage="1" showErrorMessage="1" sqref="C3:C54" xr:uid="{21925A42-9869-47B2-9084-5FA4DDA469D5}">
      <formula1>"Abhishek,Aseem,Kajal,Krushna,Rohan,Sachin,Samuel,Shraddha,Sonali,Sunil"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9095237-6979-451A-A098-50750CE2632C}">
          <x14:formula1>
            <xm:f>Droplist!$M$2:$M$18</xm:f>
          </x14:formula1>
          <xm:sqref>R3:Y54</xm:sqref>
        </x14:dataValidation>
        <x14:dataValidation type="list" allowBlank="1" showInputMessage="1" showErrorMessage="1" xr:uid="{039DAFF0-37FE-45CD-BA70-2FD6BE32DF81}">
          <x14:formula1>
            <xm:f>Droplist!$M$2:$M$19</xm:f>
          </x14:formula1>
          <xm:sqref>N3:Q54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BEA95-FA6F-44CA-910D-19BE1B5C88F3}">
  <sheetPr>
    <tabColor theme="3" tint="0.749992370372631"/>
  </sheetPr>
  <dimension ref="A1:AT54"/>
  <sheetViews>
    <sheetView showGridLines="0" tabSelected="1" workbookViewId="0">
      <pane ySplit="2" topLeftCell="A3" activePane="bottomLeft" state="frozen"/>
      <selection pane="bottomLeft"/>
    </sheetView>
  </sheetViews>
  <sheetFormatPr defaultRowHeight="11.25" x14ac:dyDescent="0.2"/>
  <cols>
    <col min="1" max="1" width="19.85546875" style="2" bestFit="1" customWidth="1"/>
    <col min="2" max="4" width="12.85546875" style="2" customWidth="1"/>
    <col min="5" max="8" width="12.85546875" style="5" customWidth="1"/>
    <col min="9" max="9" width="14.85546875" style="5" bestFit="1" customWidth="1"/>
    <col min="10" max="10" width="12.85546875" style="5" customWidth="1"/>
    <col min="11" max="11" width="21.7109375" style="2" bestFit="1" customWidth="1"/>
    <col min="12" max="12" width="12.85546875" style="2" customWidth="1"/>
    <col min="13" max="13" width="14.28515625" style="2" customWidth="1"/>
    <col min="14" max="14" width="11.42578125" style="2" customWidth="1"/>
    <col min="15" max="16" width="9.42578125" style="2" customWidth="1"/>
    <col min="17" max="17" width="22.7109375" style="2" customWidth="1"/>
    <col min="18" max="18" width="22.42578125" style="2" customWidth="1"/>
    <col min="19" max="19" width="11.85546875" style="2" customWidth="1"/>
    <col min="20" max="20" width="15.42578125" style="2" customWidth="1"/>
    <col min="21" max="21" width="13.7109375" style="2" customWidth="1"/>
    <col min="22" max="23" width="9.42578125" style="2" customWidth="1"/>
    <col min="24" max="24" width="10.28515625" style="2" customWidth="1"/>
    <col min="25" max="29" width="9.42578125" style="2" customWidth="1"/>
    <col min="30" max="30" width="11.28515625" style="2" customWidth="1"/>
    <col min="31" max="31" width="13" style="2" customWidth="1"/>
    <col min="32" max="32" width="14" style="2" customWidth="1"/>
    <col min="33" max="33" width="16.28515625" style="2" customWidth="1"/>
    <col min="34" max="34" width="15.5703125" style="2" customWidth="1"/>
    <col min="35" max="35" width="11.28515625" style="2" customWidth="1"/>
    <col min="36" max="36" width="24" style="69" customWidth="1"/>
    <col min="37" max="39" width="11.28515625" style="2" customWidth="1"/>
    <col min="40" max="40" width="14.5703125" style="2" customWidth="1"/>
    <col min="41" max="45" width="11.85546875" style="2" customWidth="1"/>
    <col min="46" max="46" width="88.140625" style="69" customWidth="1"/>
    <col min="47" max="16384" width="9.140625" style="2"/>
  </cols>
  <sheetData>
    <row r="1" spans="1:46" s="10" customFormat="1" ht="15" customHeight="1" x14ac:dyDescent="0.25">
      <c r="A1" s="103">
        <v>46198</v>
      </c>
      <c r="B1" s="106" t="s">
        <v>1473</v>
      </c>
      <c r="C1" s="107"/>
      <c r="D1" s="107"/>
      <c r="E1" s="107"/>
      <c r="F1" s="107"/>
      <c r="G1" s="107"/>
      <c r="H1" s="108"/>
      <c r="I1" s="86"/>
      <c r="J1" s="86"/>
      <c r="K1" s="6"/>
      <c r="L1" s="6"/>
      <c r="M1" s="109" t="s">
        <v>1</v>
      </c>
      <c r="N1" s="109"/>
      <c r="O1" s="106" t="s">
        <v>115</v>
      </c>
      <c r="P1" s="107"/>
      <c r="Q1" s="107"/>
      <c r="R1" s="107"/>
      <c r="S1" s="107"/>
      <c r="T1" s="107"/>
      <c r="U1" s="107"/>
      <c r="V1" s="107"/>
      <c r="W1" s="107"/>
      <c r="X1" s="107"/>
      <c r="Y1" s="107"/>
      <c r="Z1" s="107"/>
      <c r="AA1" s="107"/>
      <c r="AB1" s="107"/>
      <c r="AC1" s="107"/>
      <c r="AD1" s="109" t="s">
        <v>116</v>
      </c>
      <c r="AE1" s="109"/>
      <c r="AF1" s="109"/>
      <c r="AG1" s="109"/>
      <c r="AH1" s="109"/>
      <c r="AI1" s="109"/>
      <c r="AJ1" s="106" t="s">
        <v>117</v>
      </c>
      <c r="AK1" s="107"/>
      <c r="AL1" s="107"/>
      <c r="AM1" s="107"/>
      <c r="AN1" s="107"/>
      <c r="AO1" s="107"/>
      <c r="AP1" s="107"/>
      <c r="AQ1" s="107"/>
      <c r="AR1" s="107"/>
      <c r="AS1" s="107"/>
      <c r="AT1" s="108"/>
    </row>
    <row r="2" spans="1:46" s="69" customFormat="1" ht="33.75" x14ac:dyDescent="0.2">
      <c r="A2" s="97" t="s">
        <v>5</v>
      </c>
      <c r="B2" s="101" t="s">
        <v>8</v>
      </c>
      <c r="C2" s="101" t="s">
        <v>9</v>
      </c>
      <c r="D2" s="101" t="s">
        <v>10</v>
      </c>
      <c r="E2" s="102" t="s">
        <v>1266</v>
      </c>
      <c r="F2" s="102" t="s">
        <v>11</v>
      </c>
      <c r="G2" s="102" t="s">
        <v>12</v>
      </c>
      <c r="H2" s="102" t="s">
        <v>13</v>
      </c>
      <c r="I2" s="102" t="s">
        <v>23</v>
      </c>
      <c r="J2" s="102" t="s">
        <v>24</v>
      </c>
      <c r="K2" s="98" t="s">
        <v>1362</v>
      </c>
      <c r="L2" s="98" t="s">
        <v>1365</v>
      </c>
      <c r="M2" s="97" t="s">
        <v>6</v>
      </c>
      <c r="N2" s="97" t="s">
        <v>7</v>
      </c>
      <c r="O2" s="97" t="s">
        <v>154</v>
      </c>
      <c r="P2" s="97" t="s">
        <v>155</v>
      </c>
      <c r="Q2" s="97" t="s">
        <v>120</v>
      </c>
      <c r="R2" s="97" t="s">
        <v>121</v>
      </c>
      <c r="S2" s="97" t="s">
        <v>1377</v>
      </c>
      <c r="T2" s="97" t="s">
        <v>1378</v>
      </c>
      <c r="U2" s="97" t="s">
        <v>1342</v>
      </c>
      <c r="V2" s="97" t="s">
        <v>156</v>
      </c>
      <c r="W2" s="97" t="s">
        <v>157</v>
      </c>
      <c r="X2" s="97" t="s">
        <v>1476</v>
      </c>
      <c r="Y2" s="97" t="s">
        <v>158</v>
      </c>
      <c r="Z2" s="97" t="s">
        <v>159</v>
      </c>
      <c r="AA2" s="97" t="s">
        <v>1475</v>
      </c>
      <c r="AB2" s="97" t="s">
        <v>1379</v>
      </c>
      <c r="AC2" s="97" t="s">
        <v>1380</v>
      </c>
      <c r="AD2" s="97" t="s">
        <v>162</v>
      </c>
      <c r="AE2" s="97" t="s">
        <v>1381</v>
      </c>
      <c r="AF2" s="97" t="s">
        <v>164</v>
      </c>
      <c r="AG2" s="97" t="s">
        <v>1383</v>
      </c>
      <c r="AH2" s="97" t="s">
        <v>125</v>
      </c>
      <c r="AI2" s="97" t="s">
        <v>1382</v>
      </c>
      <c r="AJ2" s="97" t="s">
        <v>1260</v>
      </c>
      <c r="AK2" s="97" t="s">
        <v>1261</v>
      </c>
      <c r="AL2" s="97" t="s">
        <v>1262</v>
      </c>
      <c r="AM2" s="97" t="s">
        <v>1263</v>
      </c>
      <c r="AN2" s="97" t="s">
        <v>1264</v>
      </c>
      <c r="AO2" s="97" t="s">
        <v>127</v>
      </c>
      <c r="AP2" s="97" t="s">
        <v>128</v>
      </c>
      <c r="AQ2" s="97" t="s">
        <v>129</v>
      </c>
      <c r="AR2" s="97" t="s">
        <v>1330</v>
      </c>
      <c r="AS2" s="97" t="s">
        <v>130</v>
      </c>
      <c r="AT2" s="99" t="s">
        <v>131</v>
      </c>
    </row>
    <row r="3" spans="1:46" s="91" customFormat="1" ht="33.75" x14ac:dyDescent="0.25">
      <c r="A3" s="79" t="s">
        <v>28</v>
      </c>
      <c r="B3" s="79" t="s">
        <v>1384</v>
      </c>
      <c r="C3" s="79" t="s">
        <v>1384</v>
      </c>
      <c r="D3" s="79" t="s">
        <v>1388</v>
      </c>
      <c r="E3" s="82">
        <v>46143</v>
      </c>
      <c r="F3" s="82">
        <v>46387</v>
      </c>
      <c r="G3" s="82">
        <v>46143</v>
      </c>
      <c r="H3" s="82">
        <v>46387</v>
      </c>
      <c r="I3" s="104">
        <f>IFERROR(NETWORKDAYS($A$1,Table1[[#This Row],[FOB/PLC VALIDITY EXPIRY DATE ]]),"-")</f>
        <v>136</v>
      </c>
      <c r="J3" s="104">
        <f>IFERROR(NETWORKDAYS($A$1,Table1[[#This Row],[OFR VALIDITY EXPIRY DATE ]]),"-")</f>
        <v>136</v>
      </c>
      <c r="K3" s="79" t="s">
        <v>1363</v>
      </c>
      <c r="L3" s="79" t="s">
        <v>1366</v>
      </c>
      <c r="M3" s="79" t="s">
        <v>66</v>
      </c>
      <c r="N3" s="79" t="s">
        <v>30</v>
      </c>
      <c r="O3" s="79" t="s">
        <v>1384</v>
      </c>
      <c r="P3" s="79" t="s">
        <v>1384</v>
      </c>
      <c r="Q3" s="79" t="s">
        <v>1384</v>
      </c>
      <c r="R3" s="79" t="s">
        <v>1384</v>
      </c>
      <c r="S3" s="79" t="s">
        <v>1388</v>
      </c>
      <c r="T3" s="79" t="s">
        <v>1388</v>
      </c>
      <c r="U3" s="79" t="s">
        <v>1388</v>
      </c>
      <c r="V3" s="79" t="s">
        <v>1389</v>
      </c>
      <c r="W3" s="79" t="s">
        <v>1389</v>
      </c>
      <c r="X3" s="79" t="s">
        <v>1389</v>
      </c>
      <c r="Y3" s="79" t="s">
        <v>1388</v>
      </c>
      <c r="Z3" s="79" t="s">
        <v>1388</v>
      </c>
      <c r="AA3" s="79" t="s">
        <v>1388</v>
      </c>
      <c r="AB3" s="79" t="s">
        <v>1388</v>
      </c>
      <c r="AC3" s="79" t="s">
        <v>1388</v>
      </c>
      <c r="AD3" s="79" t="s">
        <v>1385</v>
      </c>
      <c r="AE3" s="79" t="s">
        <v>1386</v>
      </c>
      <c r="AF3" s="79" t="s">
        <v>1387</v>
      </c>
      <c r="AG3" s="79" t="s">
        <v>1386</v>
      </c>
      <c r="AH3" s="79" t="s">
        <v>1386</v>
      </c>
      <c r="AI3" s="79" t="s">
        <v>1387</v>
      </c>
      <c r="AJ3" s="79" t="s">
        <v>1468</v>
      </c>
      <c r="AK3" s="92" t="s">
        <v>1291</v>
      </c>
      <c r="AL3" s="79" t="s">
        <v>1290</v>
      </c>
      <c r="AM3" s="79" t="s">
        <v>1290</v>
      </c>
      <c r="AN3" s="79" t="s">
        <v>1462</v>
      </c>
      <c r="AO3" s="79" t="s">
        <v>1460</v>
      </c>
      <c r="AP3" s="79" t="s">
        <v>1453</v>
      </c>
      <c r="AQ3" s="79">
        <v>3</v>
      </c>
      <c r="AR3" s="79" t="s">
        <v>1460</v>
      </c>
      <c r="AS3" s="79" t="s">
        <v>1460</v>
      </c>
      <c r="AT3" s="93" t="s">
        <v>136</v>
      </c>
    </row>
    <row r="4" spans="1:46" s="91" customFormat="1" ht="33.75" x14ac:dyDescent="0.25">
      <c r="A4" s="79" t="s">
        <v>35</v>
      </c>
      <c r="B4" s="79" t="s">
        <v>1390</v>
      </c>
      <c r="C4" s="79" t="s">
        <v>1390</v>
      </c>
      <c r="D4" s="79" t="s">
        <v>1388</v>
      </c>
      <c r="E4" s="82">
        <v>46204</v>
      </c>
      <c r="F4" s="82">
        <v>46295</v>
      </c>
      <c r="G4" s="82">
        <v>46204</v>
      </c>
      <c r="H4" s="82">
        <v>46295</v>
      </c>
      <c r="I4" s="104">
        <f>IFERROR(NETWORKDAYS($A$1,Table1[[#This Row],[FOB/PLC VALIDITY EXPIRY DATE ]]),"-")</f>
        <v>70</v>
      </c>
      <c r="J4" s="104">
        <f>IFERROR(NETWORKDAYS($A$1,Table1[[#This Row],[OFR VALIDITY EXPIRY DATE ]]),"-")</f>
        <v>70</v>
      </c>
      <c r="K4" s="79" t="s">
        <v>1363</v>
      </c>
      <c r="L4" s="79" t="s">
        <v>1367</v>
      </c>
      <c r="M4" s="79" t="s">
        <v>1375</v>
      </c>
      <c r="N4" s="79" t="s">
        <v>1376</v>
      </c>
      <c r="O4" s="79" t="s">
        <v>1390</v>
      </c>
      <c r="P4" s="79" t="s">
        <v>1390</v>
      </c>
      <c r="Q4" s="79" t="s">
        <v>1390</v>
      </c>
      <c r="R4" s="79" t="s">
        <v>1390</v>
      </c>
      <c r="S4" s="79" t="s">
        <v>1388</v>
      </c>
      <c r="T4" s="79" t="s">
        <v>1388</v>
      </c>
      <c r="U4" s="79" t="s">
        <v>1388</v>
      </c>
      <c r="V4" s="79" t="s">
        <v>1390</v>
      </c>
      <c r="W4" s="79" t="s">
        <v>1388</v>
      </c>
      <c r="X4" s="79" t="s">
        <v>1390</v>
      </c>
      <c r="Y4" s="79" t="s">
        <v>1388</v>
      </c>
      <c r="Z4" s="79" t="s">
        <v>1388</v>
      </c>
      <c r="AA4" s="79" t="s">
        <v>1388</v>
      </c>
      <c r="AB4" s="79" t="s">
        <v>1388</v>
      </c>
      <c r="AC4" s="79" t="s">
        <v>1388</v>
      </c>
      <c r="AD4" s="79" t="s">
        <v>1387</v>
      </c>
      <c r="AE4" s="79" t="s">
        <v>1387</v>
      </c>
      <c r="AF4" s="79" t="s">
        <v>1387</v>
      </c>
      <c r="AG4" s="79" t="s">
        <v>1387</v>
      </c>
      <c r="AH4" s="79" t="s">
        <v>1387</v>
      </c>
      <c r="AI4" s="79" t="s">
        <v>1387</v>
      </c>
      <c r="AJ4" s="79" t="s">
        <v>1466</v>
      </c>
      <c r="AK4" s="92" t="s">
        <v>1297</v>
      </c>
      <c r="AL4" s="79" t="s">
        <v>1290</v>
      </c>
      <c r="AM4" s="79" t="s">
        <v>1290</v>
      </c>
      <c r="AN4" s="79" t="s">
        <v>1461</v>
      </c>
      <c r="AO4" s="79" t="s">
        <v>1453</v>
      </c>
      <c r="AP4" s="79" t="s">
        <v>1460</v>
      </c>
      <c r="AQ4" s="79">
        <v>12</v>
      </c>
      <c r="AR4" s="79" t="s">
        <v>1453</v>
      </c>
      <c r="AS4" s="79" t="s">
        <v>1453</v>
      </c>
      <c r="AT4" s="93" t="s">
        <v>138</v>
      </c>
    </row>
    <row r="5" spans="1:46" s="91" customFormat="1" ht="22.5" customHeight="1" x14ac:dyDescent="0.25">
      <c r="A5" s="79" t="s">
        <v>40</v>
      </c>
      <c r="B5" s="79" t="s">
        <v>1384</v>
      </c>
      <c r="C5" s="79" t="s">
        <v>1389</v>
      </c>
      <c r="D5" s="79" t="s">
        <v>1388</v>
      </c>
      <c r="E5" s="82">
        <v>46023</v>
      </c>
      <c r="F5" s="82">
        <v>46387</v>
      </c>
      <c r="G5" s="82">
        <v>46174</v>
      </c>
      <c r="H5" s="82">
        <v>46203</v>
      </c>
      <c r="I5" s="104">
        <f>IFERROR(NETWORKDAYS($A$1,Table1[[#This Row],[FOB/PLC VALIDITY EXPIRY DATE ]]),"-")</f>
        <v>136</v>
      </c>
      <c r="J5" s="104">
        <f>IFERROR(NETWORKDAYS($A$1,Table1[[#This Row],[OFR VALIDITY EXPIRY DATE ]]),"-")</f>
        <v>4</v>
      </c>
      <c r="K5" s="79" t="s">
        <v>1363</v>
      </c>
      <c r="L5" s="79" t="s">
        <v>1366</v>
      </c>
      <c r="M5" s="79" t="s">
        <v>1349</v>
      </c>
      <c r="N5" s="79" t="s">
        <v>1376</v>
      </c>
      <c r="O5" s="79" t="s">
        <v>1384</v>
      </c>
      <c r="P5" s="79" t="s">
        <v>1384</v>
      </c>
      <c r="Q5" s="79" t="s">
        <v>1384</v>
      </c>
      <c r="R5" s="79" t="s">
        <v>1384</v>
      </c>
      <c r="S5" s="79" t="s">
        <v>1388</v>
      </c>
      <c r="T5" s="79" t="s">
        <v>1388</v>
      </c>
      <c r="U5" s="79" t="s">
        <v>1388</v>
      </c>
      <c r="V5" s="79" t="s">
        <v>1389</v>
      </c>
      <c r="W5" s="79" t="s">
        <v>1389</v>
      </c>
      <c r="X5" s="79" t="s">
        <v>1389</v>
      </c>
      <c r="Y5" s="79" t="s">
        <v>1388</v>
      </c>
      <c r="Z5" s="79" t="s">
        <v>1388</v>
      </c>
      <c r="AA5" s="79" t="s">
        <v>1388</v>
      </c>
      <c r="AB5" s="79" t="s">
        <v>1388</v>
      </c>
      <c r="AC5" s="79" t="s">
        <v>1388</v>
      </c>
      <c r="AD5" s="79" t="s">
        <v>1387</v>
      </c>
      <c r="AE5" s="79" t="s">
        <v>1386</v>
      </c>
      <c r="AF5" s="79" t="s">
        <v>1387</v>
      </c>
      <c r="AG5" s="79" t="s">
        <v>1387</v>
      </c>
      <c r="AH5" s="79" t="s">
        <v>1387</v>
      </c>
      <c r="AI5" s="79" t="s">
        <v>1387</v>
      </c>
      <c r="AJ5" s="79" t="s">
        <v>1466</v>
      </c>
      <c r="AK5" s="92" t="s">
        <v>1411</v>
      </c>
      <c r="AL5" s="79" t="s">
        <v>1417</v>
      </c>
      <c r="AM5" s="79" t="s">
        <v>1290</v>
      </c>
      <c r="AN5" s="79" t="s">
        <v>1461</v>
      </c>
      <c r="AO5" s="79" t="s">
        <v>1453</v>
      </c>
      <c r="AP5" s="79" t="s">
        <v>1460</v>
      </c>
      <c r="AQ5" s="79">
        <v>5</v>
      </c>
      <c r="AR5" s="79" t="s">
        <v>1460</v>
      </c>
      <c r="AS5" s="79" t="s">
        <v>1460</v>
      </c>
      <c r="AT5" s="93" t="s">
        <v>1419</v>
      </c>
    </row>
    <row r="6" spans="1:46" s="91" customFormat="1" ht="33.75" x14ac:dyDescent="0.25">
      <c r="A6" s="79" t="s">
        <v>42</v>
      </c>
      <c r="B6" s="79" t="s">
        <v>1384</v>
      </c>
      <c r="C6" s="79" t="s">
        <v>1389</v>
      </c>
      <c r="D6" s="79" t="s">
        <v>1388</v>
      </c>
      <c r="E6" s="82">
        <v>46023</v>
      </c>
      <c r="F6" s="82">
        <v>46387</v>
      </c>
      <c r="G6" s="82">
        <v>46174</v>
      </c>
      <c r="H6" s="82">
        <v>46203</v>
      </c>
      <c r="I6" s="104">
        <f>IFERROR(NETWORKDAYS($A$1,Table1[[#This Row],[FOB/PLC VALIDITY EXPIRY DATE ]]),"-")</f>
        <v>136</v>
      </c>
      <c r="J6" s="104">
        <f>IFERROR(NETWORKDAYS($A$1,Table1[[#This Row],[OFR VALIDITY EXPIRY DATE ]]),"-")</f>
        <v>4</v>
      </c>
      <c r="K6" s="79" t="s">
        <v>1363</v>
      </c>
      <c r="L6" s="79" t="s">
        <v>1367</v>
      </c>
      <c r="M6" s="79" t="s">
        <v>43</v>
      </c>
      <c r="N6" s="79" t="s">
        <v>30</v>
      </c>
      <c r="O6" s="79" t="s">
        <v>1384</v>
      </c>
      <c r="P6" s="79" t="s">
        <v>1384</v>
      </c>
      <c r="Q6" s="79" t="s">
        <v>1384</v>
      </c>
      <c r="R6" s="79" t="s">
        <v>1384</v>
      </c>
      <c r="S6" s="79" t="s">
        <v>1388</v>
      </c>
      <c r="T6" s="79" t="s">
        <v>1388</v>
      </c>
      <c r="U6" s="79" t="s">
        <v>1388</v>
      </c>
      <c r="V6" s="79" t="s">
        <v>1389</v>
      </c>
      <c r="W6" s="79" t="s">
        <v>1389</v>
      </c>
      <c r="X6" s="79" t="s">
        <v>1389</v>
      </c>
      <c r="Y6" s="79" t="s">
        <v>1388</v>
      </c>
      <c r="Z6" s="79" t="s">
        <v>1388</v>
      </c>
      <c r="AA6" s="79" t="s">
        <v>1388</v>
      </c>
      <c r="AB6" s="79" t="s">
        <v>1388</v>
      </c>
      <c r="AC6" s="79" t="s">
        <v>1470</v>
      </c>
      <c r="AD6" s="79" t="s">
        <v>1387</v>
      </c>
      <c r="AE6" s="79" t="s">
        <v>1387</v>
      </c>
      <c r="AF6" s="79" t="s">
        <v>1387</v>
      </c>
      <c r="AG6" s="79" t="s">
        <v>1387</v>
      </c>
      <c r="AH6" s="79" t="s">
        <v>1387</v>
      </c>
      <c r="AI6" s="79" t="s">
        <v>1387</v>
      </c>
      <c r="AJ6" s="79" t="s">
        <v>1466</v>
      </c>
      <c r="AK6" s="92" t="s">
        <v>1411</v>
      </c>
      <c r="AL6" s="79" t="s">
        <v>1417</v>
      </c>
      <c r="AM6" s="79" t="s">
        <v>1290</v>
      </c>
      <c r="AN6" s="79" t="s">
        <v>1462</v>
      </c>
      <c r="AO6" s="79" t="s">
        <v>1460</v>
      </c>
      <c r="AP6" s="79" t="s">
        <v>1460</v>
      </c>
      <c r="AQ6" s="79">
        <v>3</v>
      </c>
      <c r="AR6" s="79" t="s">
        <v>1460</v>
      </c>
      <c r="AS6" s="79" t="s">
        <v>1460</v>
      </c>
      <c r="AT6" s="93" t="s">
        <v>1419</v>
      </c>
    </row>
    <row r="7" spans="1:46" s="91" customFormat="1" ht="33.75" x14ac:dyDescent="0.25">
      <c r="A7" s="79" t="s">
        <v>45</v>
      </c>
      <c r="B7" s="79" t="s">
        <v>1384</v>
      </c>
      <c r="C7" s="79" t="s">
        <v>1389</v>
      </c>
      <c r="D7" s="79" t="s">
        <v>1388</v>
      </c>
      <c r="E7" s="82">
        <v>46023</v>
      </c>
      <c r="F7" s="82">
        <v>46387</v>
      </c>
      <c r="G7" s="82">
        <v>46174</v>
      </c>
      <c r="H7" s="82">
        <v>46203</v>
      </c>
      <c r="I7" s="104">
        <f>IFERROR(NETWORKDAYS($A$1,Table1[[#This Row],[FOB/PLC VALIDITY EXPIRY DATE ]]),"-")</f>
        <v>136</v>
      </c>
      <c r="J7" s="104">
        <f>IFERROR(NETWORKDAYS($A$1,Table1[[#This Row],[OFR VALIDITY EXPIRY DATE ]]),"-")</f>
        <v>4</v>
      </c>
      <c r="K7" s="79" t="s">
        <v>1363</v>
      </c>
      <c r="L7" s="79" t="s">
        <v>1366</v>
      </c>
      <c r="M7" s="79" t="s">
        <v>46</v>
      </c>
      <c r="N7" s="79" t="s">
        <v>1253</v>
      </c>
      <c r="O7" s="79" t="s">
        <v>1384</v>
      </c>
      <c r="P7" s="79" t="s">
        <v>1384</v>
      </c>
      <c r="Q7" s="79" t="s">
        <v>1384</v>
      </c>
      <c r="R7" s="79" t="s">
        <v>1384</v>
      </c>
      <c r="S7" s="79" t="s">
        <v>1388</v>
      </c>
      <c r="T7" s="79" t="s">
        <v>1388</v>
      </c>
      <c r="U7" s="79" t="s">
        <v>1388</v>
      </c>
      <c r="V7" s="79" t="s">
        <v>1389</v>
      </c>
      <c r="W7" s="79" t="s">
        <v>1389</v>
      </c>
      <c r="X7" s="79" t="s">
        <v>1389</v>
      </c>
      <c r="Y7" s="79" t="s">
        <v>1388</v>
      </c>
      <c r="Z7" s="79" t="s">
        <v>1388</v>
      </c>
      <c r="AA7" s="79" t="s">
        <v>1388</v>
      </c>
      <c r="AB7" s="79" t="s">
        <v>1388</v>
      </c>
      <c r="AC7" s="79" t="s">
        <v>1388</v>
      </c>
      <c r="AD7" s="79" t="s">
        <v>1385</v>
      </c>
      <c r="AE7" s="79" t="s">
        <v>1387</v>
      </c>
      <c r="AF7" s="79" t="s">
        <v>1387</v>
      </c>
      <c r="AG7" s="79" t="s">
        <v>1387</v>
      </c>
      <c r="AH7" s="79" t="s">
        <v>1387</v>
      </c>
      <c r="AI7" s="79" t="s">
        <v>1386</v>
      </c>
      <c r="AJ7" s="79" t="s">
        <v>1468</v>
      </c>
      <c r="AK7" s="92" t="s">
        <v>1412</v>
      </c>
      <c r="AL7" s="79" t="s">
        <v>1463</v>
      </c>
      <c r="AM7" s="79" t="s">
        <v>1463</v>
      </c>
      <c r="AN7" s="79" t="s">
        <v>1462</v>
      </c>
      <c r="AO7" s="79" t="s">
        <v>1460</v>
      </c>
      <c r="AP7" s="79" t="s">
        <v>1460</v>
      </c>
      <c r="AQ7" s="79">
        <v>3</v>
      </c>
      <c r="AR7" s="79" t="s">
        <v>1460</v>
      </c>
      <c r="AS7" s="79" t="s">
        <v>1460</v>
      </c>
      <c r="AT7" s="93" t="s">
        <v>1420</v>
      </c>
    </row>
    <row r="8" spans="1:46" s="91" customFormat="1" ht="33.75" x14ac:dyDescent="0.25">
      <c r="A8" s="79" t="s">
        <v>48</v>
      </c>
      <c r="B8" s="79" t="s">
        <v>1384</v>
      </c>
      <c r="C8" s="79" t="s">
        <v>1384</v>
      </c>
      <c r="D8" s="79" t="s">
        <v>1388</v>
      </c>
      <c r="E8" s="82">
        <v>46023</v>
      </c>
      <c r="F8" s="82">
        <v>46387</v>
      </c>
      <c r="G8" s="82">
        <v>46082</v>
      </c>
      <c r="H8" s="82">
        <v>46387</v>
      </c>
      <c r="I8" s="104">
        <f>IFERROR(NETWORKDAYS($A$1,Table1[[#This Row],[FOB/PLC VALIDITY EXPIRY DATE ]]),"-")</f>
        <v>136</v>
      </c>
      <c r="J8" s="104">
        <f>IFERROR(NETWORKDAYS($A$1,Table1[[#This Row],[OFR VALIDITY EXPIRY DATE ]]),"-")</f>
        <v>136</v>
      </c>
      <c r="K8" s="79" t="s">
        <v>1363</v>
      </c>
      <c r="L8" s="79" t="s">
        <v>1367</v>
      </c>
      <c r="M8" s="79" t="s">
        <v>49</v>
      </c>
      <c r="N8" s="79" t="s">
        <v>1391</v>
      </c>
      <c r="O8" s="79" t="s">
        <v>1384</v>
      </c>
      <c r="P8" s="79" t="s">
        <v>1384</v>
      </c>
      <c r="Q8" s="79" t="s">
        <v>1384</v>
      </c>
      <c r="R8" s="79" t="s">
        <v>1384</v>
      </c>
      <c r="S8" s="79" t="s">
        <v>1388</v>
      </c>
      <c r="T8" s="79" t="s">
        <v>1388</v>
      </c>
      <c r="U8" s="79" t="s">
        <v>1388</v>
      </c>
      <c r="V8" s="79" t="s">
        <v>1389</v>
      </c>
      <c r="W8" s="79" t="s">
        <v>1389</v>
      </c>
      <c r="X8" s="79" t="s">
        <v>1389</v>
      </c>
      <c r="Y8" s="79" t="s">
        <v>1388</v>
      </c>
      <c r="Z8" s="79" t="s">
        <v>1388</v>
      </c>
      <c r="AA8" s="79" t="s">
        <v>1388</v>
      </c>
      <c r="AB8" s="79" t="s">
        <v>1388</v>
      </c>
      <c r="AC8" s="79" t="s">
        <v>1388</v>
      </c>
      <c r="AD8" s="79" t="s">
        <v>1385</v>
      </c>
      <c r="AE8" s="79" t="s">
        <v>1386</v>
      </c>
      <c r="AF8" s="79" t="s">
        <v>1387</v>
      </c>
      <c r="AG8" s="79" t="s">
        <v>1386</v>
      </c>
      <c r="AH8" s="79" t="s">
        <v>1386</v>
      </c>
      <c r="AI8" s="79" t="s">
        <v>1387</v>
      </c>
      <c r="AJ8" s="79" t="s">
        <v>1468</v>
      </c>
      <c r="AK8" s="92" t="s">
        <v>1291</v>
      </c>
      <c r="AL8" s="79" t="s">
        <v>1417</v>
      </c>
      <c r="AM8" s="79" t="s">
        <v>1463</v>
      </c>
      <c r="AN8" s="79" t="s">
        <v>1462</v>
      </c>
      <c r="AO8" s="79" t="s">
        <v>1457</v>
      </c>
      <c r="AP8" s="79" t="s">
        <v>1460</v>
      </c>
      <c r="AQ8" s="79">
        <v>3</v>
      </c>
      <c r="AR8" s="79" t="s">
        <v>1460</v>
      </c>
      <c r="AS8" s="79" t="s">
        <v>1460</v>
      </c>
      <c r="AT8" s="93" t="s">
        <v>1421</v>
      </c>
    </row>
    <row r="9" spans="1:46" s="91" customFormat="1" ht="123.75" x14ac:dyDescent="0.25">
      <c r="A9" s="79" t="s">
        <v>51</v>
      </c>
      <c r="B9" s="79" t="s">
        <v>1409</v>
      </c>
      <c r="C9" s="79" t="s">
        <v>1388</v>
      </c>
      <c r="D9" s="79" t="s">
        <v>1388</v>
      </c>
      <c r="E9" s="82">
        <v>46188</v>
      </c>
      <c r="F9" s="82">
        <v>46401</v>
      </c>
      <c r="G9" s="82">
        <v>46188</v>
      </c>
      <c r="H9" s="82">
        <v>46217</v>
      </c>
      <c r="I9" s="104">
        <f>IFERROR(NETWORKDAYS($A$1,Table1[[#This Row],[FOB/PLC VALIDITY EXPIRY DATE ]]),"-")</f>
        <v>146</v>
      </c>
      <c r="J9" s="104">
        <f>IFERROR(NETWORKDAYS($A$1,Table1[[#This Row],[OFR VALIDITY EXPIRY DATE ]]),"-")</f>
        <v>14</v>
      </c>
      <c r="K9" s="79" t="s">
        <v>1363</v>
      </c>
      <c r="L9" s="79" t="s">
        <v>1366</v>
      </c>
      <c r="M9" s="79" t="s">
        <v>52</v>
      </c>
      <c r="N9" s="79" t="s">
        <v>30</v>
      </c>
      <c r="O9" s="79" t="s">
        <v>1409</v>
      </c>
      <c r="P9" s="79" t="s">
        <v>1409</v>
      </c>
      <c r="Q9" s="79" t="s">
        <v>1409</v>
      </c>
      <c r="R9" s="79" t="s">
        <v>1409</v>
      </c>
      <c r="S9" s="79" t="s">
        <v>1388</v>
      </c>
      <c r="T9" s="79" t="s">
        <v>1388</v>
      </c>
      <c r="U9" s="79" t="s">
        <v>1388</v>
      </c>
      <c r="V9" s="79" t="s">
        <v>1388</v>
      </c>
      <c r="W9" s="79" t="s">
        <v>1388</v>
      </c>
      <c r="X9" s="79" t="s">
        <v>1390</v>
      </c>
      <c r="Y9" s="79" t="s">
        <v>1388</v>
      </c>
      <c r="Z9" s="79" t="s">
        <v>1388</v>
      </c>
      <c r="AA9" s="79" t="s">
        <v>1388</v>
      </c>
      <c r="AB9" s="79" t="s">
        <v>1388</v>
      </c>
      <c r="AC9" s="79" t="s">
        <v>1470</v>
      </c>
      <c r="AD9" s="79" t="s">
        <v>1387</v>
      </c>
      <c r="AE9" s="79" t="s">
        <v>1387</v>
      </c>
      <c r="AF9" s="79" t="s">
        <v>1387</v>
      </c>
      <c r="AG9" s="79" t="s">
        <v>1387</v>
      </c>
      <c r="AH9" s="79" t="s">
        <v>1387</v>
      </c>
      <c r="AI9" s="79" t="s">
        <v>1387</v>
      </c>
      <c r="AJ9" s="79" t="s">
        <v>1466</v>
      </c>
      <c r="AK9" s="92" t="s">
        <v>1411</v>
      </c>
      <c r="AL9" s="79" t="s">
        <v>1417</v>
      </c>
      <c r="AM9" s="79" t="s">
        <v>1463</v>
      </c>
      <c r="AN9" s="79" t="s">
        <v>1462</v>
      </c>
      <c r="AO9" s="79" t="s">
        <v>1453</v>
      </c>
      <c r="AP9" s="79" t="s">
        <v>1454</v>
      </c>
      <c r="AQ9" s="79">
        <v>6</v>
      </c>
      <c r="AR9" s="79" t="s">
        <v>1460</v>
      </c>
      <c r="AS9" s="79" t="s">
        <v>1460</v>
      </c>
      <c r="AT9" s="93" t="s">
        <v>1422</v>
      </c>
    </row>
    <row r="10" spans="1:46" s="91" customFormat="1" ht="33.75" x14ac:dyDescent="0.25">
      <c r="A10" s="79" t="s">
        <v>55</v>
      </c>
      <c r="B10" s="79" t="s">
        <v>1389</v>
      </c>
      <c r="C10" s="79" t="s">
        <v>1389</v>
      </c>
      <c r="D10" s="79" t="s">
        <v>1388</v>
      </c>
      <c r="E10" s="82">
        <v>46204</v>
      </c>
      <c r="F10" s="82">
        <v>46234</v>
      </c>
      <c r="G10" s="82">
        <v>46174</v>
      </c>
      <c r="H10" s="82">
        <v>46203</v>
      </c>
      <c r="I10" s="104">
        <f>IFERROR(NETWORKDAYS($A$1,Table1[[#This Row],[FOB/PLC VALIDITY EXPIRY DATE ]]),"-")</f>
        <v>27</v>
      </c>
      <c r="J10" s="104">
        <f>IFERROR(NETWORKDAYS($A$1,Table1[[#This Row],[OFR VALIDITY EXPIRY DATE ]]),"-")</f>
        <v>4</v>
      </c>
      <c r="K10" s="79" t="s">
        <v>1363</v>
      </c>
      <c r="L10" s="79" t="s">
        <v>1367</v>
      </c>
      <c r="M10" s="79" t="s">
        <v>56</v>
      </c>
      <c r="N10" s="79" t="s">
        <v>1392</v>
      </c>
      <c r="O10" s="79" t="s">
        <v>1389</v>
      </c>
      <c r="P10" s="79" t="s">
        <v>1389</v>
      </c>
      <c r="Q10" s="79" t="s">
        <v>1389</v>
      </c>
      <c r="R10" s="79" t="s">
        <v>1389</v>
      </c>
      <c r="S10" s="79" t="s">
        <v>1388</v>
      </c>
      <c r="T10" s="79" t="s">
        <v>1388</v>
      </c>
      <c r="U10" s="79" t="s">
        <v>1388</v>
      </c>
      <c r="V10" s="79" t="s">
        <v>1389</v>
      </c>
      <c r="W10" s="79" t="s">
        <v>1389</v>
      </c>
      <c r="X10" s="79" t="s">
        <v>1389</v>
      </c>
      <c r="Y10" s="79" t="s">
        <v>1388</v>
      </c>
      <c r="Z10" s="79" t="s">
        <v>1388</v>
      </c>
      <c r="AA10" s="79" t="s">
        <v>1388</v>
      </c>
      <c r="AB10" s="79" t="s">
        <v>1388</v>
      </c>
      <c r="AC10" s="79" t="s">
        <v>1388</v>
      </c>
      <c r="AD10" s="79" t="s">
        <v>1385</v>
      </c>
      <c r="AE10" s="79" t="s">
        <v>1386</v>
      </c>
      <c r="AF10" s="79" t="s">
        <v>1387</v>
      </c>
      <c r="AG10" s="79" t="s">
        <v>1386</v>
      </c>
      <c r="AH10" s="79" t="s">
        <v>1386</v>
      </c>
      <c r="AI10" s="79" t="s">
        <v>1386</v>
      </c>
      <c r="AJ10" s="79" t="s">
        <v>1468</v>
      </c>
      <c r="AK10" s="92" t="s">
        <v>1411</v>
      </c>
      <c r="AL10" s="79" t="s">
        <v>1417</v>
      </c>
      <c r="AM10" s="79" t="s">
        <v>1418</v>
      </c>
      <c r="AN10" s="79" t="s">
        <v>1462</v>
      </c>
      <c r="AO10" s="79" t="s">
        <v>1460</v>
      </c>
      <c r="AP10" s="79" t="s">
        <v>1454</v>
      </c>
      <c r="AQ10" s="79">
        <v>3</v>
      </c>
      <c r="AR10" s="79" t="s">
        <v>1460</v>
      </c>
      <c r="AS10" s="79" t="s">
        <v>1460</v>
      </c>
      <c r="AT10" s="93" t="s">
        <v>27</v>
      </c>
    </row>
    <row r="11" spans="1:46" s="91" customFormat="1" ht="33.75" x14ac:dyDescent="0.25">
      <c r="A11" s="79" t="s">
        <v>57</v>
      </c>
      <c r="B11" s="79" t="s">
        <v>1384</v>
      </c>
      <c r="C11" s="79" t="s">
        <v>1389</v>
      </c>
      <c r="D11" s="79" t="s">
        <v>1388</v>
      </c>
      <c r="E11" s="82">
        <v>46023</v>
      </c>
      <c r="F11" s="82">
        <v>46387</v>
      </c>
      <c r="G11" s="82">
        <v>46174</v>
      </c>
      <c r="H11" s="82">
        <v>46203</v>
      </c>
      <c r="I11" s="104">
        <f>IFERROR(NETWORKDAYS($A$1,Table1[[#This Row],[FOB/PLC VALIDITY EXPIRY DATE ]]),"-")</f>
        <v>136</v>
      </c>
      <c r="J11" s="104">
        <f>IFERROR(NETWORKDAYS($A$1,Table1[[#This Row],[OFR VALIDITY EXPIRY DATE ]]),"-")</f>
        <v>4</v>
      </c>
      <c r="K11" s="79" t="s">
        <v>1363</v>
      </c>
      <c r="L11" s="79" t="s">
        <v>1366</v>
      </c>
      <c r="M11" s="79" t="s">
        <v>46</v>
      </c>
      <c r="N11" s="79" t="s">
        <v>1393</v>
      </c>
      <c r="O11" s="79" t="s">
        <v>1384</v>
      </c>
      <c r="P11" s="79" t="s">
        <v>1384</v>
      </c>
      <c r="Q11" s="79" t="s">
        <v>1384</v>
      </c>
      <c r="R11" s="79" t="s">
        <v>1384</v>
      </c>
      <c r="S11" s="79" t="s">
        <v>1388</v>
      </c>
      <c r="T11" s="79" t="s">
        <v>1388</v>
      </c>
      <c r="U11" s="79" t="s">
        <v>1388</v>
      </c>
      <c r="V11" s="79" t="s">
        <v>1389</v>
      </c>
      <c r="W11" s="79" t="s">
        <v>1389</v>
      </c>
      <c r="X11" s="79" t="s">
        <v>1389</v>
      </c>
      <c r="Y11" s="79" t="s">
        <v>1388</v>
      </c>
      <c r="Z11" s="79" t="s">
        <v>1388</v>
      </c>
      <c r="AA11" s="79" t="s">
        <v>1388</v>
      </c>
      <c r="AB11" s="79" t="s">
        <v>1388</v>
      </c>
      <c r="AC11" s="79" t="s">
        <v>1388</v>
      </c>
      <c r="AD11" s="79" t="s">
        <v>1385</v>
      </c>
      <c r="AE11" s="79" t="s">
        <v>1386</v>
      </c>
      <c r="AF11" s="79" t="s">
        <v>1387</v>
      </c>
      <c r="AG11" s="79" t="s">
        <v>1386</v>
      </c>
      <c r="AH11" s="79" t="s">
        <v>1386</v>
      </c>
      <c r="AI11" s="79" t="s">
        <v>1387</v>
      </c>
      <c r="AJ11" s="79" t="s">
        <v>1468</v>
      </c>
      <c r="AK11" s="92" t="s">
        <v>1411</v>
      </c>
      <c r="AL11" s="79" t="s">
        <v>1417</v>
      </c>
      <c r="AM11" s="79" t="s">
        <v>1463</v>
      </c>
      <c r="AN11" s="79" t="s">
        <v>1462</v>
      </c>
      <c r="AO11" s="79" t="s">
        <v>1453</v>
      </c>
      <c r="AP11" s="79" t="s">
        <v>1460</v>
      </c>
      <c r="AQ11" s="79">
        <v>3</v>
      </c>
      <c r="AR11" s="79" t="s">
        <v>1460</v>
      </c>
      <c r="AS11" s="79" t="s">
        <v>1460</v>
      </c>
      <c r="AT11" s="93" t="s">
        <v>1423</v>
      </c>
    </row>
    <row r="12" spans="1:46" s="91" customFormat="1" ht="33.75" x14ac:dyDescent="0.25">
      <c r="A12" s="79" t="s">
        <v>58</v>
      </c>
      <c r="B12" s="79" t="s">
        <v>1384</v>
      </c>
      <c r="C12" s="79" t="s">
        <v>1390</v>
      </c>
      <c r="D12" s="79" t="s">
        <v>27</v>
      </c>
      <c r="E12" s="82">
        <v>45809</v>
      </c>
      <c r="F12" s="82">
        <v>46203</v>
      </c>
      <c r="G12" s="82">
        <v>46082</v>
      </c>
      <c r="H12" s="82">
        <v>46203</v>
      </c>
      <c r="I12" s="104">
        <f>IFERROR(NETWORKDAYS($A$1,Table1[[#This Row],[FOB/PLC VALIDITY EXPIRY DATE ]]),"-")</f>
        <v>4</v>
      </c>
      <c r="J12" s="104">
        <f>IFERROR(NETWORKDAYS($A$1,Table1[[#This Row],[OFR VALIDITY EXPIRY DATE ]]),"-")</f>
        <v>4</v>
      </c>
      <c r="K12" s="79" t="s">
        <v>1363</v>
      </c>
      <c r="L12" s="79" t="s">
        <v>1367</v>
      </c>
      <c r="M12" s="79" t="s">
        <v>59</v>
      </c>
      <c r="N12" s="79" t="s">
        <v>1408</v>
      </c>
      <c r="O12" s="79" t="s">
        <v>1384</v>
      </c>
      <c r="P12" s="79" t="s">
        <v>1384</v>
      </c>
      <c r="Q12" s="79" t="s">
        <v>1384</v>
      </c>
      <c r="R12" s="79" t="s">
        <v>1384</v>
      </c>
      <c r="S12" s="79" t="s">
        <v>1388</v>
      </c>
      <c r="T12" s="79" t="s">
        <v>1388</v>
      </c>
      <c r="U12" s="79" t="s">
        <v>1388</v>
      </c>
      <c r="V12" s="79" t="s">
        <v>1390</v>
      </c>
      <c r="W12" s="79" t="s">
        <v>1390</v>
      </c>
      <c r="X12" s="79" t="s">
        <v>1438</v>
      </c>
      <c r="Y12" s="79" t="s">
        <v>1471</v>
      </c>
      <c r="Z12" s="79" t="s">
        <v>1471</v>
      </c>
      <c r="AA12" s="79" t="s">
        <v>1471</v>
      </c>
      <c r="AB12" s="79" t="s">
        <v>1470</v>
      </c>
      <c r="AC12" s="79" t="s">
        <v>1470</v>
      </c>
      <c r="AD12" s="79" t="s">
        <v>1385</v>
      </c>
      <c r="AE12" s="79" t="s">
        <v>1386</v>
      </c>
      <c r="AF12" s="79" t="s">
        <v>1387</v>
      </c>
      <c r="AG12" s="79" t="s">
        <v>1386</v>
      </c>
      <c r="AH12" s="79" t="s">
        <v>1386</v>
      </c>
      <c r="AI12" s="79" t="s">
        <v>1387</v>
      </c>
      <c r="AJ12" s="79" t="s">
        <v>1468</v>
      </c>
      <c r="AK12" s="92" t="s">
        <v>1411</v>
      </c>
      <c r="AL12" s="79" t="s">
        <v>1417</v>
      </c>
      <c r="AM12" s="79" t="s">
        <v>1418</v>
      </c>
      <c r="AN12" s="79" t="s">
        <v>1462</v>
      </c>
      <c r="AO12" s="79" t="s">
        <v>1460</v>
      </c>
      <c r="AP12" s="79" t="s">
        <v>1460</v>
      </c>
      <c r="AQ12" s="79">
        <v>5</v>
      </c>
      <c r="AR12" s="79" t="s">
        <v>1460</v>
      </c>
      <c r="AS12" s="79" t="s">
        <v>1460</v>
      </c>
      <c r="AT12" s="93" t="s">
        <v>27</v>
      </c>
    </row>
    <row r="13" spans="1:46" s="91" customFormat="1" ht="33.75" x14ac:dyDescent="0.25">
      <c r="A13" s="79" t="s">
        <v>62</v>
      </c>
      <c r="B13" s="79" t="s">
        <v>1384</v>
      </c>
      <c r="C13" s="79" t="s">
        <v>1384</v>
      </c>
      <c r="D13" s="79" t="s">
        <v>27</v>
      </c>
      <c r="E13" s="82">
        <v>45809</v>
      </c>
      <c r="F13" s="82">
        <v>46203</v>
      </c>
      <c r="G13" s="82">
        <v>45809</v>
      </c>
      <c r="H13" s="82">
        <v>46203</v>
      </c>
      <c r="I13" s="104">
        <f>IFERROR(NETWORKDAYS($A$1,Table1[[#This Row],[FOB/PLC VALIDITY EXPIRY DATE ]]),"-")</f>
        <v>4</v>
      </c>
      <c r="J13" s="104">
        <f>IFERROR(NETWORKDAYS($A$1,Table1[[#This Row],[OFR VALIDITY EXPIRY DATE ]]),"-")</f>
        <v>4</v>
      </c>
      <c r="K13" s="79" t="s">
        <v>1363</v>
      </c>
      <c r="L13" s="79" t="s">
        <v>1366</v>
      </c>
      <c r="M13" s="79" t="s">
        <v>59</v>
      </c>
      <c r="N13" s="79" t="s">
        <v>1408</v>
      </c>
      <c r="O13" s="79" t="s">
        <v>1384</v>
      </c>
      <c r="P13" s="79" t="s">
        <v>1384</v>
      </c>
      <c r="Q13" s="79" t="s">
        <v>1384</v>
      </c>
      <c r="R13" s="79" t="s">
        <v>1384</v>
      </c>
      <c r="S13" s="79" t="s">
        <v>1388</v>
      </c>
      <c r="T13" s="79" t="s">
        <v>1388</v>
      </c>
      <c r="U13" s="79" t="s">
        <v>1388</v>
      </c>
      <c r="V13" s="79" t="s">
        <v>1384</v>
      </c>
      <c r="W13" s="79" t="s">
        <v>1384</v>
      </c>
      <c r="X13" s="79" t="s">
        <v>1438</v>
      </c>
      <c r="Y13" s="79" t="s">
        <v>1471</v>
      </c>
      <c r="Z13" s="79" t="s">
        <v>1471</v>
      </c>
      <c r="AA13" s="79" t="s">
        <v>1471</v>
      </c>
      <c r="AB13" s="79" t="s">
        <v>1388</v>
      </c>
      <c r="AC13" s="79" t="s">
        <v>1470</v>
      </c>
      <c r="AD13" s="79" t="s">
        <v>1385</v>
      </c>
      <c r="AE13" s="79" t="s">
        <v>1386</v>
      </c>
      <c r="AF13" s="79" t="s">
        <v>1387</v>
      </c>
      <c r="AG13" s="79" t="s">
        <v>1386</v>
      </c>
      <c r="AH13" s="79" t="s">
        <v>1386</v>
      </c>
      <c r="AI13" s="79" t="s">
        <v>1387</v>
      </c>
      <c r="AJ13" s="79" t="s">
        <v>1468</v>
      </c>
      <c r="AK13" s="92" t="s">
        <v>1411</v>
      </c>
      <c r="AL13" s="79" t="s">
        <v>1417</v>
      </c>
      <c r="AM13" s="79" t="s">
        <v>1418</v>
      </c>
      <c r="AN13" s="79" t="s">
        <v>1462</v>
      </c>
      <c r="AO13" s="79" t="s">
        <v>1460</v>
      </c>
      <c r="AP13" s="79" t="s">
        <v>1460</v>
      </c>
      <c r="AQ13" s="79">
        <v>5</v>
      </c>
      <c r="AR13" s="79" t="s">
        <v>1460</v>
      </c>
      <c r="AS13" s="79" t="s">
        <v>1460</v>
      </c>
      <c r="AT13" s="93" t="s">
        <v>1424</v>
      </c>
    </row>
    <row r="14" spans="1:46" s="91" customFormat="1" ht="146.25" x14ac:dyDescent="0.25">
      <c r="A14" s="79" t="s">
        <v>63</v>
      </c>
      <c r="B14" s="79" t="s">
        <v>1384</v>
      </c>
      <c r="C14" s="79" t="s">
        <v>1384</v>
      </c>
      <c r="D14" s="79" t="s">
        <v>1390</v>
      </c>
      <c r="E14" s="82">
        <v>46023</v>
      </c>
      <c r="F14" s="82">
        <v>46387</v>
      </c>
      <c r="G14" s="82">
        <v>46113</v>
      </c>
      <c r="H14" s="82">
        <v>46387</v>
      </c>
      <c r="I14" s="104">
        <f>IFERROR(NETWORKDAYS($A$1,Table1[[#This Row],[FOB/PLC VALIDITY EXPIRY DATE ]]),"-")</f>
        <v>136</v>
      </c>
      <c r="J14" s="104">
        <f>IFERROR(NETWORKDAYS($A$1,Table1[[#This Row],[OFR VALIDITY EXPIRY DATE ]]),"-")</f>
        <v>136</v>
      </c>
      <c r="K14" s="79" t="s">
        <v>1363</v>
      </c>
      <c r="L14" s="79" t="s">
        <v>1367</v>
      </c>
      <c r="M14" s="79" t="s">
        <v>49</v>
      </c>
      <c r="N14" s="79" t="s">
        <v>1391</v>
      </c>
      <c r="O14" s="79" t="s">
        <v>1384</v>
      </c>
      <c r="P14" s="79" t="s">
        <v>1384</v>
      </c>
      <c r="Q14" s="79" t="s">
        <v>1384</v>
      </c>
      <c r="R14" s="79" t="s">
        <v>1384</v>
      </c>
      <c r="S14" s="79" t="s">
        <v>1388</v>
      </c>
      <c r="T14" s="79" t="s">
        <v>1388</v>
      </c>
      <c r="U14" s="79" t="s">
        <v>1388</v>
      </c>
      <c r="V14" s="79" t="s">
        <v>1384</v>
      </c>
      <c r="W14" s="79" t="s">
        <v>1384</v>
      </c>
      <c r="X14" s="79" t="s">
        <v>1384</v>
      </c>
      <c r="Y14" s="79" t="s">
        <v>1390</v>
      </c>
      <c r="Z14" s="79" t="s">
        <v>1390</v>
      </c>
      <c r="AA14" s="79" t="s">
        <v>1390</v>
      </c>
      <c r="AB14" s="79" t="s">
        <v>1472</v>
      </c>
      <c r="AC14" s="79" t="s">
        <v>1470</v>
      </c>
      <c r="AD14" s="79" t="s">
        <v>1385</v>
      </c>
      <c r="AE14" s="79" t="s">
        <v>1387</v>
      </c>
      <c r="AF14" s="79" t="s">
        <v>1387</v>
      </c>
      <c r="AG14" s="79" t="s">
        <v>1387</v>
      </c>
      <c r="AH14" s="79" t="s">
        <v>1387</v>
      </c>
      <c r="AI14" s="79" t="s">
        <v>1387</v>
      </c>
      <c r="AJ14" s="79" t="s">
        <v>1468</v>
      </c>
      <c r="AK14" s="92" t="s">
        <v>1411</v>
      </c>
      <c r="AL14" s="79" t="s">
        <v>1417</v>
      </c>
      <c r="AM14" s="79" t="s">
        <v>1463</v>
      </c>
      <c r="AN14" s="79" t="s">
        <v>1462</v>
      </c>
      <c r="AO14" s="79" t="s">
        <v>1455</v>
      </c>
      <c r="AP14" s="79" t="s">
        <v>1460</v>
      </c>
      <c r="AQ14" s="79">
        <v>5</v>
      </c>
      <c r="AR14" s="79" t="s">
        <v>1460</v>
      </c>
      <c r="AS14" s="79" t="s">
        <v>1460</v>
      </c>
      <c r="AT14" s="93" t="s">
        <v>1426</v>
      </c>
    </row>
    <row r="15" spans="1:46" s="91" customFormat="1" ht="33.75" x14ac:dyDescent="0.25">
      <c r="A15" s="79" t="s">
        <v>65</v>
      </c>
      <c r="B15" s="79" t="s">
        <v>1384</v>
      </c>
      <c r="C15" s="79" t="s">
        <v>1389</v>
      </c>
      <c r="D15" s="79" t="s">
        <v>1388</v>
      </c>
      <c r="E15" s="82">
        <v>46023</v>
      </c>
      <c r="F15" s="82">
        <v>46387</v>
      </c>
      <c r="G15" s="82">
        <v>46174</v>
      </c>
      <c r="H15" s="82">
        <v>46203</v>
      </c>
      <c r="I15" s="104">
        <f>IFERROR(NETWORKDAYS($A$1,Table1[[#This Row],[FOB/PLC VALIDITY EXPIRY DATE ]]),"-")</f>
        <v>136</v>
      </c>
      <c r="J15" s="104">
        <f>IFERROR(NETWORKDAYS($A$1,Table1[[#This Row],[OFR VALIDITY EXPIRY DATE ]]),"-")</f>
        <v>4</v>
      </c>
      <c r="K15" s="79" t="s">
        <v>1363</v>
      </c>
      <c r="L15" s="79" t="s">
        <v>1366</v>
      </c>
      <c r="M15" s="79" t="s">
        <v>46</v>
      </c>
      <c r="N15" s="79" t="s">
        <v>1394</v>
      </c>
      <c r="O15" s="79" t="s">
        <v>1384</v>
      </c>
      <c r="P15" s="79" t="s">
        <v>1384</v>
      </c>
      <c r="Q15" s="79" t="s">
        <v>1384</v>
      </c>
      <c r="R15" s="79" t="s">
        <v>1384</v>
      </c>
      <c r="S15" s="79" t="s">
        <v>1388</v>
      </c>
      <c r="T15" s="79" t="s">
        <v>1388</v>
      </c>
      <c r="U15" s="79" t="s">
        <v>1388</v>
      </c>
      <c r="V15" s="79" t="s">
        <v>1389</v>
      </c>
      <c r="W15" s="79" t="s">
        <v>1389</v>
      </c>
      <c r="X15" s="79" t="s">
        <v>1389</v>
      </c>
      <c r="Y15" s="79" t="s">
        <v>1388</v>
      </c>
      <c r="Z15" s="79" t="s">
        <v>1388</v>
      </c>
      <c r="AA15" s="79" t="s">
        <v>1388</v>
      </c>
      <c r="AB15" s="79" t="s">
        <v>1388</v>
      </c>
      <c r="AC15" s="79" t="s">
        <v>1388</v>
      </c>
      <c r="AD15" s="79" t="s">
        <v>1387</v>
      </c>
      <c r="AE15" s="79" t="s">
        <v>1386</v>
      </c>
      <c r="AF15" s="79" t="s">
        <v>1387</v>
      </c>
      <c r="AG15" s="79" t="s">
        <v>1386</v>
      </c>
      <c r="AH15" s="79" t="s">
        <v>1386</v>
      </c>
      <c r="AI15" s="79" t="s">
        <v>1387</v>
      </c>
      <c r="AJ15" s="79" t="s">
        <v>1466</v>
      </c>
      <c r="AK15" s="92" t="s">
        <v>1411</v>
      </c>
      <c r="AL15" s="79" t="s">
        <v>1417</v>
      </c>
      <c r="AM15" s="79" t="s">
        <v>1418</v>
      </c>
      <c r="AN15" s="79" t="s">
        <v>1462</v>
      </c>
      <c r="AO15" s="79" t="s">
        <v>1460</v>
      </c>
      <c r="AP15" s="79" t="s">
        <v>1460</v>
      </c>
      <c r="AQ15" s="79">
        <v>5</v>
      </c>
      <c r="AR15" s="79" t="s">
        <v>1460</v>
      </c>
      <c r="AS15" s="79" t="s">
        <v>1460</v>
      </c>
      <c r="AT15" s="93" t="s">
        <v>1424</v>
      </c>
    </row>
    <row r="16" spans="1:46" s="91" customFormat="1" ht="33.75" x14ac:dyDescent="0.25">
      <c r="A16" s="79" t="s">
        <v>1265</v>
      </c>
      <c r="B16" s="79" t="s">
        <v>1384</v>
      </c>
      <c r="C16" s="79" t="s">
        <v>1384</v>
      </c>
      <c r="D16" s="79" t="s">
        <v>1389</v>
      </c>
      <c r="E16" s="82">
        <v>46113</v>
      </c>
      <c r="F16" s="82">
        <v>46477</v>
      </c>
      <c r="G16" s="82">
        <v>46113</v>
      </c>
      <c r="H16" s="82">
        <v>46477</v>
      </c>
      <c r="I16" s="104">
        <f>IFERROR(NETWORKDAYS($A$1,Table1[[#This Row],[FOB/PLC VALIDITY EXPIRY DATE ]]),"-")</f>
        <v>200</v>
      </c>
      <c r="J16" s="104">
        <f>IFERROR(NETWORKDAYS($A$1,Table1[[#This Row],[OFR VALIDITY EXPIRY DATE ]]),"-")</f>
        <v>200</v>
      </c>
      <c r="K16" s="79" t="s">
        <v>1363</v>
      </c>
      <c r="L16" s="79" t="s">
        <v>1367</v>
      </c>
      <c r="M16" s="79" t="s">
        <v>49</v>
      </c>
      <c r="N16" s="79" t="s">
        <v>1391</v>
      </c>
      <c r="O16" s="79" t="s">
        <v>1384</v>
      </c>
      <c r="P16" s="79" t="s">
        <v>1384</v>
      </c>
      <c r="Q16" s="79" t="s">
        <v>1384</v>
      </c>
      <c r="R16" s="79" t="s">
        <v>1384</v>
      </c>
      <c r="S16" s="79" t="s">
        <v>1388</v>
      </c>
      <c r="T16" s="79" t="s">
        <v>1388</v>
      </c>
      <c r="U16" s="79" t="s">
        <v>1388</v>
      </c>
      <c r="V16" s="79" t="s">
        <v>1389</v>
      </c>
      <c r="W16" s="79" t="s">
        <v>1389</v>
      </c>
      <c r="X16" s="79" t="s">
        <v>1389</v>
      </c>
      <c r="Y16" s="79" t="s">
        <v>1389</v>
      </c>
      <c r="Z16" s="79" t="s">
        <v>1389</v>
      </c>
      <c r="AA16" s="79" t="s">
        <v>1389</v>
      </c>
      <c r="AB16" s="79" t="s">
        <v>1389</v>
      </c>
      <c r="AC16" s="79" t="s">
        <v>1389</v>
      </c>
      <c r="AD16" s="79" t="s">
        <v>1385</v>
      </c>
      <c r="AE16" s="79" t="s">
        <v>1386</v>
      </c>
      <c r="AF16" s="79" t="s">
        <v>1386</v>
      </c>
      <c r="AG16" s="79" t="s">
        <v>1386</v>
      </c>
      <c r="AH16" s="79" t="s">
        <v>1386</v>
      </c>
      <c r="AI16" s="79" t="s">
        <v>1387</v>
      </c>
      <c r="AJ16" s="79" t="s">
        <v>1468</v>
      </c>
      <c r="AK16" s="92"/>
      <c r="AL16" s="79" t="s">
        <v>1427</v>
      </c>
      <c r="AM16" s="79" t="s">
        <v>1427</v>
      </c>
      <c r="AN16" s="79" t="s">
        <v>1427</v>
      </c>
      <c r="AO16" s="79" t="s">
        <v>1459</v>
      </c>
      <c r="AP16" s="79" t="s">
        <v>1460</v>
      </c>
      <c r="AQ16" s="79" t="s">
        <v>1449</v>
      </c>
      <c r="AR16" s="79" t="s">
        <v>1460</v>
      </c>
      <c r="AS16" s="79" t="s">
        <v>1460</v>
      </c>
      <c r="AT16" s="93" t="s">
        <v>1427</v>
      </c>
    </row>
    <row r="17" spans="1:46" s="91" customFormat="1" ht="33.75" x14ac:dyDescent="0.25">
      <c r="A17" s="79" t="s">
        <v>668</v>
      </c>
      <c r="B17" s="79" t="s">
        <v>1384</v>
      </c>
      <c r="C17" s="79" t="s">
        <v>1389</v>
      </c>
      <c r="D17" s="79" t="s">
        <v>1388</v>
      </c>
      <c r="E17" s="82">
        <v>46189</v>
      </c>
      <c r="F17" s="82">
        <v>46387</v>
      </c>
      <c r="G17" s="82">
        <v>46189</v>
      </c>
      <c r="H17" s="82">
        <v>46203</v>
      </c>
      <c r="I17" s="104">
        <f>IFERROR(NETWORKDAYS($A$1,Table1[[#This Row],[FOB/PLC VALIDITY EXPIRY DATE ]]),"-")</f>
        <v>136</v>
      </c>
      <c r="J17" s="104">
        <f>IFERROR(NETWORKDAYS($A$1,Table1[[#This Row],[OFR VALIDITY EXPIRY DATE ]]),"-")</f>
        <v>4</v>
      </c>
      <c r="K17" s="79" t="s">
        <v>1363</v>
      </c>
      <c r="L17" s="79" t="s">
        <v>1366</v>
      </c>
      <c r="M17" s="79" t="s">
        <v>30</v>
      </c>
      <c r="N17" s="79" t="s">
        <v>27</v>
      </c>
      <c r="O17" s="79" t="s">
        <v>1384</v>
      </c>
      <c r="P17" s="79" t="s">
        <v>1384</v>
      </c>
      <c r="Q17" s="79" t="s">
        <v>1384</v>
      </c>
      <c r="R17" s="79" t="s">
        <v>1384</v>
      </c>
      <c r="S17" s="79" t="s">
        <v>1388</v>
      </c>
      <c r="T17" s="79" t="s">
        <v>1388</v>
      </c>
      <c r="U17" s="79" t="s">
        <v>1388</v>
      </c>
      <c r="V17" s="79" t="s">
        <v>1389</v>
      </c>
      <c r="W17" s="79" t="s">
        <v>1389</v>
      </c>
      <c r="X17" s="79" t="s">
        <v>1389</v>
      </c>
      <c r="Y17" s="79" t="s">
        <v>1388</v>
      </c>
      <c r="Z17" s="79" t="s">
        <v>1388</v>
      </c>
      <c r="AA17" s="79" t="s">
        <v>1388</v>
      </c>
      <c r="AB17" s="79" t="s">
        <v>1388</v>
      </c>
      <c r="AC17" s="79" t="s">
        <v>1388</v>
      </c>
      <c r="AD17" s="79" t="s">
        <v>1387</v>
      </c>
      <c r="AE17" s="79" t="s">
        <v>1387</v>
      </c>
      <c r="AF17" s="79" t="s">
        <v>1387</v>
      </c>
      <c r="AG17" s="79" t="s">
        <v>1387</v>
      </c>
      <c r="AH17" s="79" t="s">
        <v>1387</v>
      </c>
      <c r="AI17" s="79" t="s">
        <v>1387</v>
      </c>
      <c r="AJ17" s="79" t="s">
        <v>1466</v>
      </c>
      <c r="AK17" s="92" t="s">
        <v>1411</v>
      </c>
      <c r="AL17" s="79" t="s">
        <v>1418</v>
      </c>
      <c r="AM17" s="79" t="s">
        <v>1418</v>
      </c>
      <c r="AN17" s="79" t="s">
        <v>1461</v>
      </c>
      <c r="AO17" s="79" t="s">
        <v>1453</v>
      </c>
      <c r="AP17" s="79" t="s">
        <v>1453</v>
      </c>
      <c r="AQ17" s="79">
        <v>3</v>
      </c>
      <c r="AR17" s="79" t="s">
        <v>1460</v>
      </c>
      <c r="AS17" s="79" t="s">
        <v>1460</v>
      </c>
      <c r="AT17" s="93" t="s">
        <v>1428</v>
      </c>
    </row>
    <row r="18" spans="1:46" s="91" customFormat="1" ht="33.75" x14ac:dyDescent="0.25">
      <c r="A18" s="79" t="s">
        <v>67</v>
      </c>
      <c r="B18" s="79" t="s">
        <v>1384</v>
      </c>
      <c r="C18" s="79" t="s">
        <v>1390</v>
      </c>
      <c r="D18" s="79" t="s">
        <v>1388</v>
      </c>
      <c r="E18" s="82">
        <v>46023</v>
      </c>
      <c r="F18" s="82">
        <v>46387</v>
      </c>
      <c r="G18" s="82">
        <v>46204</v>
      </c>
      <c r="H18" s="82">
        <v>46295</v>
      </c>
      <c r="I18" s="104">
        <f>IFERROR(NETWORKDAYS($A$1,Table1[[#This Row],[FOB/PLC VALIDITY EXPIRY DATE ]]),"-")</f>
        <v>136</v>
      </c>
      <c r="J18" s="104">
        <f>IFERROR(NETWORKDAYS($A$1,Table1[[#This Row],[OFR VALIDITY EXPIRY DATE ]]),"-")</f>
        <v>70</v>
      </c>
      <c r="K18" s="79" t="s">
        <v>1363</v>
      </c>
      <c r="L18" s="79" t="s">
        <v>1367</v>
      </c>
      <c r="M18" s="79" t="s">
        <v>1395</v>
      </c>
      <c r="N18" s="79" t="s">
        <v>1376</v>
      </c>
      <c r="O18" s="79" t="s">
        <v>1384</v>
      </c>
      <c r="P18" s="79" t="s">
        <v>1384</v>
      </c>
      <c r="Q18" s="79" t="s">
        <v>1384</v>
      </c>
      <c r="R18" s="79" t="s">
        <v>1384</v>
      </c>
      <c r="S18" s="79" t="s">
        <v>1388</v>
      </c>
      <c r="T18" s="79" t="s">
        <v>1388</v>
      </c>
      <c r="U18" s="79" t="s">
        <v>1388</v>
      </c>
      <c r="V18" s="79" t="s">
        <v>1390</v>
      </c>
      <c r="W18" s="79" t="s">
        <v>1390</v>
      </c>
      <c r="X18" s="79" t="s">
        <v>1390</v>
      </c>
      <c r="Y18" s="79" t="s">
        <v>1388</v>
      </c>
      <c r="Z18" s="79" t="s">
        <v>1388</v>
      </c>
      <c r="AA18" s="79" t="s">
        <v>1388</v>
      </c>
      <c r="AB18" s="79" t="s">
        <v>1388</v>
      </c>
      <c r="AC18" s="79" t="s">
        <v>1388</v>
      </c>
      <c r="AD18" s="79" t="s">
        <v>1387</v>
      </c>
      <c r="AE18" s="79" t="s">
        <v>1387</v>
      </c>
      <c r="AF18" s="79" t="s">
        <v>1387</v>
      </c>
      <c r="AG18" s="79" t="s">
        <v>1387</v>
      </c>
      <c r="AH18" s="79" t="s">
        <v>1387</v>
      </c>
      <c r="AI18" s="79" t="s">
        <v>1387</v>
      </c>
      <c r="AJ18" s="79" t="s">
        <v>1466</v>
      </c>
      <c r="AK18" s="92" t="s">
        <v>1411</v>
      </c>
      <c r="AL18" s="79" t="s">
        <v>1417</v>
      </c>
      <c r="AM18" s="79" t="s">
        <v>1418</v>
      </c>
      <c r="AN18" s="79" t="s">
        <v>1461</v>
      </c>
      <c r="AO18" s="79" t="s">
        <v>1460</v>
      </c>
      <c r="AP18" s="79" t="s">
        <v>1453</v>
      </c>
      <c r="AQ18" s="79">
        <v>3</v>
      </c>
      <c r="AR18" s="79" t="s">
        <v>1453</v>
      </c>
      <c r="AS18" s="79" t="s">
        <v>1460</v>
      </c>
      <c r="AT18" s="93" t="s">
        <v>1419</v>
      </c>
    </row>
    <row r="19" spans="1:46" s="91" customFormat="1" ht="33.75" x14ac:dyDescent="0.25">
      <c r="A19" s="79" t="s">
        <v>68</v>
      </c>
      <c r="B19" s="79" t="s">
        <v>1409</v>
      </c>
      <c r="C19" s="79" t="s">
        <v>1389</v>
      </c>
      <c r="D19" s="79" t="s">
        <v>1388</v>
      </c>
      <c r="E19" s="82">
        <v>46204</v>
      </c>
      <c r="F19" s="82">
        <v>46387</v>
      </c>
      <c r="G19" s="82">
        <v>46174</v>
      </c>
      <c r="H19" s="82">
        <v>46203</v>
      </c>
      <c r="I19" s="104">
        <f>IFERROR(NETWORKDAYS($A$1,Table1[[#This Row],[FOB/PLC VALIDITY EXPIRY DATE ]]),"-")</f>
        <v>136</v>
      </c>
      <c r="J19" s="104">
        <f>IFERROR(NETWORKDAYS($A$1,Table1[[#This Row],[OFR VALIDITY EXPIRY DATE ]]),"-")</f>
        <v>4</v>
      </c>
      <c r="K19" s="79" t="s">
        <v>1363</v>
      </c>
      <c r="L19" s="79" t="s">
        <v>1366</v>
      </c>
      <c r="M19" s="79" t="s">
        <v>1396</v>
      </c>
      <c r="N19" s="79" t="s">
        <v>27</v>
      </c>
      <c r="O19" s="79" t="s">
        <v>1409</v>
      </c>
      <c r="P19" s="79" t="s">
        <v>1409</v>
      </c>
      <c r="Q19" s="79" t="s">
        <v>1409</v>
      </c>
      <c r="R19" s="79" t="s">
        <v>1409</v>
      </c>
      <c r="S19" s="79" t="s">
        <v>1388</v>
      </c>
      <c r="T19" s="79" t="s">
        <v>1388</v>
      </c>
      <c r="U19" s="79" t="s">
        <v>1425</v>
      </c>
      <c r="V19" s="79" t="s">
        <v>1389</v>
      </c>
      <c r="W19" s="79" t="s">
        <v>1389</v>
      </c>
      <c r="X19" s="79" t="s">
        <v>1389</v>
      </c>
      <c r="Y19" s="79" t="s">
        <v>1388</v>
      </c>
      <c r="Z19" s="79" t="s">
        <v>1388</v>
      </c>
      <c r="AA19" s="79" t="s">
        <v>1388</v>
      </c>
      <c r="AB19" s="79" t="s">
        <v>1388</v>
      </c>
      <c r="AC19" s="79" t="s">
        <v>1388</v>
      </c>
      <c r="AD19" s="79" t="s">
        <v>1385</v>
      </c>
      <c r="AE19" s="79" t="s">
        <v>1386</v>
      </c>
      <c r="AF19" s="79" t="s">
        <v>1387</v>
      </c>
      <c r="AG19" s="79" t="s">
        <v>1387</v>
      </c>
      <c r="AH19" s="79" t="s">
        <v>1387</v>
      </c>
      <c r="AI19" s="79" t="s">
        <v>1386</v>
      </c>
      <c r="AJ19" s="79" t="s">
        <v>1468</v>
      </c>
      <c r="AK19" s="92" t="s">
        <v>1413</v>
      </c>
      <c r="AL19" s="79" t="s">
        <v>1417</v>
      </c>
      <c r="AM19" s="79" t="s">
        <v>1463</v>
      </c>
      <c r="AN19" s="79" t="s">
        <v>1462</v>
      </c>
      <c r="AO19" s="79" t="s">
        <v>1453</v>
      </c>
      <c r="AP19" s="79" t="s">
        <v>1453</v>
      </c>
      <c r="AQ19" s="79">
        <v>3</v>
      </c>
      <c r="AR19" s="79" t="s">
        <v>1460</v>
      </c>
      <c r="AS19" s="79" t="s">
        <v>1460</v>
      </c>
      <c r="AT19" s="93" t="s">
        <v>27</v>
      </c>
    </row>
    <row r="20" spans="1:46" s="91" customFormat="1" ht="33.75" x14ac:dyDescent="0.25">
      <c r="A20" s="79" t="s">
        <v>69</v>
      </c>
      <c r="B20" s="79" t="s">
        <v>1384</v>
      </c>
      <c r="C20" s="79" t="s">
        <v>1389</v>
      </c>
      <c r="D20" s="79" t="s">
        <v>1388</v>
      </c>
      <c r="E20" s="82">
        <v>46023</v>
      </c>
      <c r="F20" s="82">
        <v>46387</v>
      </c>
      <c r="G20" s="82">
        <v>46174</v>
      </c>
      <c r="H20" s="82">
        <v>46203</v>
      </c>
      <c r="I20" s="104">
        <f>IFERROR(NETWORKDAYS($A$1,Table1[[#This Row],[FOB/PLC VALIDITY EXPIRY DATE ]]),"-")</f>
        <v>136</v>
      </c>
      <c r="J20" s="104">
        <f>IFERROR(NETWORKDAYS($A$1,Table1[[#This Row],[OFR VALIDITY EXPIRY DATE ]]),"-")</f>
        <v>4</v>
      </c>
      <c r="K20" s="79" t="s">
        <v>1363</v>
      </c>
      <c r="L20" s="79" t="s">
        <v>1367</v>
      </c>
      <c r="M20" s="79" t="s">
        <v>1397</v>
      </c>
      <c r="N20" s="79" t="s">
        <v>1398</v>
      </c>
      <c r="O20" s="79" t="s">
        <v>1384</v>
      </c>
      <c r="P20" s="79" t="s">
        <v>1384</v>
      </c>
      <c r="Q20" s="79" t="s">
        <v>1384</v>
      </c>
      <c r="R20" s="79" t="s">
        <v>1384</v>
      </c>
      <c r="S20" s="79" t="s">
        <v>1388</v>
      </c>
      <c r="T20" s="79" t="s">
        <v>1388</v>
      </c>
      <c r="U20" s="79" t="s">
        <v>1388</v>
      </c>
      <c r="V20" s="79" t="s">
        <v>1389</v>
      </c>
      <c r="W20" s="79" t="s">
        <v>1389</v>
      </c>
      <c r="X20" s="79" t="s">
        <v>1389</v>
      </c>
      <c r="Y20" s="79" t="s">
        <v>1388</v>
      </c>
      <c r="Z20" s="79" t="s">
        <v>1388</v>
      </c>
      <c r="AA20" s="79" t="s">
        <v>1389</v>
      </c>
      <c r="AB20" s="79" t="s">
        <v>1389</v>
      </c>
      <c r="AC20" s="79" t="s">
        <v>1388</v>
      </c>
      <c r="AD20" s="79" t="s">
        <v>1387</v>
      </c>
      <c r="AE20" s="79" t="s">
        <v>1387</v>
      </c>
      <c r="AF20" s="79" t="s">
        <v>1387</v>
      </c>
      <c r="AG20" s="79" t="s">
        <v>1387</v>
      </c>
      <c r="AH20" s="79" t="s">
        <v>1387</v>
      </c>
      <c r="AI20" s="79" t="s">
        <v>1387</v>
      </c>
      <c r="AJ20" s="79" t="s">
        <v>1466</v>
      </c>
      <c r="AK20" s="92" t="s">
        <v>1297</v>
      </c>
      <c r="AL20" s="79" t="s">
        <v>1417</v>
      </c>
      <c r="AM20" s="79" t="s">
        <v>1463</v>
      </c>
      <c r="AN20" s="79" t="s">
        <v>1462</v>
      </c>
      <c r="AO20" s="79" t="s">
        <v>1453</v>
      </c>
      <c r="AP20" s="79" t="s">
        <v>1453</v>
      </c>
      <c r="AQ20" s="79">
        <v>3</v>
      </c>
      <c r="AR20" s="79" t="s">
        <v>1460</v>
      </c>
      <c r="AS20" s="79" t="s">
        <v>1460</v>
      </c>
      <c r="AT20" s="93" t="s">
        <v>27</v>
      </c>
    </row>
    <row r="21" spans="1:46" s="91" customFormat="1" ht="33.75" x14ac:dyDescent="0.25">
      <c r="A21" s="79" t="s">
        <v>70</v>
      </c>
      <c r="B21" s="79" t="s">
        <v>1384</v>
      </c>
      <c r="C21" s="79" t="s">
        <v>1390</v>
      </c>
      <c r="D21" s="79" t="s">
        <v>1388</v>
      </c>
      <c r="E21" s="82">
        <v>46023</v>
      </c>
      <c r="F21" s="82">
        <v>46387</v>
      </c>
      <c r="G21" s="82">
        <v>46204</v>
      </c>
      <c r="H21" s="82">
        <v>46295</v>
      </c>
      <c r="I21" s="104">
        <f>IFERROR(NETWORKDAYS($A$1,Table1[[#This Row],[FOB/PLC VALIDITY EXPIRY DATE ]]),"-")</f>
        <v>136</v>
      </c>
      <c r="J21" s="104">
        <f>IFERROR(NETWORKDAYS($A$1,Table1[[#This Row],[OFR VALIDITY EXPIRY DATE ]]),"-")</f>
        <v>70</v>
      </c>
      <c r="K21" s="79" t="s">
        <v>1363</v>
      </c>
      <c r="L21" s="79" t="s">
        <v>1366</v>
      </c>
      <c r="M21" s="79" t="s">
        <v>1395</v>
      </c>
      <c r="N21" s="79" t="s">
        <v>1376</v>
      </c>
      <c r="O21" s="79" t="s">
        <v>1384</v>
      </c>
      <c r="P21" s="79" t="s">
        <v>1384</v>
      </c>
      <c r="Q21" s="79" t="s">
        <v>1384</v>
      </c>
      <c r="R21" s="79" t="s">
        <v>1384</v>
      </c>
      <c r="S21" s="79" t="s">
        <v>1388</v>
      </c>
      <c r="T21" s="79" t="s">
        <v>1388</v>
      </c>
      <c r="U21" s="79" t="s">
        <v>1388</v>
      </c>
      <c r="V21" s="79" t="s">
        <v>1390</v>
      </c>
      <c r="W21" s="79" t="s">
        <v>1390</v>
      </c>
      <c r="X21" s="79" t="s">
        <v>1390</v>
      </c>
      <c r="Y21" s="79" t="s">
        <v>1388</v>
      </c>
      <c r="Z21" s="79" t="s">
        <v>1388</v>
      </c>
      <c r="AA21" s="79" t="s">
        <v>1388</v>
      </c>
      <c r="AB21" s="79" t="s">
        <v>1388</v>
      </c>
      <c r="AC21" s="79" t="s">
        <v>1388</v>
      </c>
      <c r="AD21" s="79" t="s">
        <v>1387</v>
      </c>
      <c r="AE21" s="79" t="s">
        <v>1387</v>
      </c>
      <c r="AF21" s="79" t="s">
        <v>1387</v>
      </c>
      <c r="AG21" s="79" t="s">
        <v>1387</v>
      </c>
      <c r="AH21" s="79" t="s">
        <v>1387</v>
      </c>
      <c r="AI21" s="79" t="s">
        <v>1387</v>
      </c>
      <c r="AJ21" s="79" t="s">
        <v>1466</v>
      </c>
      <c r="AK21" s="92" t="s">
        <v>1411</v>
      </c>
      <c r="AL21" s="79" t="s">
        <v>1417</v>
      </c>
      <c r="AM21" s="79" t="s">
        <v>1418</v>
      </c>
      <c r="AN21" s="79" t="s">
        <v>1461</v>
      </c>
      <c r="AO21" s="79" t="s">
        <v>1453</v>
      </c>
      <c r="AP21" s="79" t="s">
        <v>1453</v>
      </c>
      <c r="AQ21" s="79">
        <v>3</v>
      </c>
      <c r="AR21" s="79" t="s">
        <v>1460</v>
      </c>
      <c r="AS21" s="79" t="s">
        <v>1460</v>
      </c>
      <c r="AT21" s="93" t="s">
        <v>1419</v>
      </c>
    </row>
    <row r="22" spans="1:46" s="91" customFormat="1" ht="33.75" x14ac:dyDescent="0.25">
      <c r="A22" s="79" t="s">
        <v>71</v>
      </c>
      <c r="B22" s="79" t="s">
        <v>1384</v>
      </c>
      <c r="C22" s="79" t="s">
        <v>1389</v>
      </c>
      <c r="D22" s="79" t="s">
        <v>1388</v>
      </c>
      <c r="E22" s="82">
        <v>46023</v>
      </c>
      <c r="F22" s="82">
        <v>46387</v>
      </c>
      <c r="G22" s="82">
        <v>46174</v>
      </c>
      <c r="H22" s="82">
        <v>46203</v>
      </c>
      <c r="I22" s="104">
        <f>IFERROR(NETWORKDAYS($A$1,Table1[[#This Row],[FOB/PLC VALIDITY EXPIRY DATE ]]),"-")</f>
        <v>136</v>
      </c>
      <c r="J22" s="104">
        <f>IFERROR(NETWORKDAYS($A$1,Table1[[#This Row],[OFR VALIDITY EXPIRY DATE ]]),"-")</f>
        <v>4</v>
      </c>
      <c r="K22" s="79" t="s">
        <v>1363</v>
      </c>
      <c r="L22" s="79" t="s">
        <v>1367</v>
      </c>
      <c r="M22" s="79" t="s">
        <v>46</v>
      </c>
      <c r="N22" s="79" t="s">
        <v>1253</v>
      </c>
      <c r="O22" s="79" t="s">
        <v>1384</v>
      </c>
      <c r="P22" s="79" t="s">
        <v>1384</v>
      </c>
      <c r="Q22" s="79" t="s">
        <v>1384</v>
      </c>
      <c r="R22" s="79" t="s">
        <v>1384</v>
      </c>
      <c r="S22" s="79" t="s">
        <v>1388</v>
      </c>
      <c r="T22" s="79" t="s">
        <v>1388</v>
      </c>
      <c r="U22" s="79" t="s">
        <v>1425</v>
      </c>
      <c r="V22" s="79" t="s">
        <v>1389</v>
      </c>
      <c r="W22" s="79" t="s">
        <v>1389</v>
      </c>
      <c r="X22" s="79" t="s">
        <v>1390</v>
      </c>
      <c r="Y22" s="79" t="s">
        <v>1388</v>
      </c>
      <c r="Z22" s="79" t="s">
        <v>1388</v>
      </c>
      <c r="AA22" s="79" t="s">
        <v>1388</v>
      </c>
      <c r="AB22" s="79" t="s">
        <v>1388</v>
      </c>
      <c r="AC22" s="79" t="s">
        <v>1388</v>
      </c>
      <c r="AD22" s="79" t="s">
        <v>1387</v>
      </c>
      <c r="AE22" s="79" t="s">
        <v>1387</v>
      </c>
      <c r="AF22" s="79" t="s">
        <v>1387</v>
      </c>
      <c r="AG22" s="79" t="s">
        <v>1387</v>
      </c>
      <c r="AH22" s="79" t="s">
        <v>1387</v>
      </c>
      <c r="AI22" s="79" t="s">
        <v>1387</v>
      </c>
      <c r="AJ22" s="79" t="s">
        <v>1466</v>
      </c>
      <c r="AK22" s="92" t="s">
        <v>1411</v>
      </c>
      <c r="AL22" s="79" t="s">
        <v>1417</v>
      </c>
      <c r="AM22" s="79" t="s">
        <v>1463</v>
      </c>
      <c r="AN22" s="79" t="s">
        <v>1462</v>
      </c>
      <c r="AO22" s="79" t="s">
        <v>1453</v>
      </c>
      <c r="AP22" s="79" t="s">
        <v>1453</v>
      </c>
      <c r="AQ22" s="79">
        <v>3</v>
      </c>
      <c r="AR22" s="79" t="s">
        <v>1460</v>
      </c>
      <c r="AS22" s="79" t="s">
        <v>1460</v>
      </c>
      <c r="AT22" s="93" t="s">
        <v>1419</v>
      </c>
    </row>
    <row r="23" spans="1:46" s="91" customFormat="1" ht="33.75" x14ac:dyDescent="0.25">
      <c r="A23" s="79" t="s">
        <v>72</v>
      </c>
      <c r="B23" s="79" t="s">
        <v>1384</v>
      </c>
      <c r="C23" s="79" t="s">
        <v>1389</v>
      </c>
      <c r="D23" s="79" t="s">
        <v>1388</v>
      </c>
      <c r="E23" s="82">
        <v>46023</v>
      </c>
      <c r="F23" s="82">
        <v>46387</v>
      </c>
      <c r="G23" s="82">
        <v>46174</v>
      </c>
      <c r="H23" s="82">
        <v>46203</v>
      </c>
      <c r="I23" s="104">
        <f>IFERROR(NETWORKDAYS($A$1,Table1[[#This Row],[FOB/PLC VALIDITY EXPIRY DATE ]]),"-")</f>
        <v>136</v>
      </c>
      <c r="J23" s="104">
        <f>IFERROR(NETWORKDAYS($A$1,Table1[[#This Row],[OFR VALIDITY EXPIRY DATE ]]),"-")</f>
        <v>4</v>
      </c>
      <c r="K23" s="79" t="s">
        <v>1363</v>
      </c>
      <c r="L23" s="79" t="s">
        <v>1366</v>
      </c>
      <c r="M23" s="79" t="s">
        <v>59</v>
      </c>
      <c r="N23" s="79" t="s">
        <v>1399</v>
      </c>
      <c r="O23" s="79" t="s">
        <v>1384</v>
      </c>
      <c r="P23" s="79" t="s">
        <v>1384</v>
      </c>
      <c r="Q23" s="79" t="s">
        <v>1384</v>
      </c>
      <c r="R23" s="79" t="s">
        <v>1384</v>
      </c>
      <c r="S23" s="79" t="s">
        <v>1388</v>
      </c>
      <c r="T23" s="79" t="s">
        <v>1388</v>
      </c>
      <c r="U23" s="79" t="s">
        <v>1388</v>
      </c>
      <c r="V23" s="79" t="s">
        <v>1389</v>
      </c>
      <c r="W23" s="79" t="s">
        <v>1389</v>
      </c>
      <c r="X23" s="79" t="s">
        <v>1390</v>
      </c>
      <c r="Y23" s="79" t="s">
        <v>1388</v>
      </c>
      <c r="Z23" s="79" t="s">
        <v>1388</v>
      </c>
      <c r="AA23" s="79" t="s">
        <v>1388</v>
      </c>
      <c r="AB23" s="79" t="s">
        <v>1388</v>
      </c>
      <c r="AC23" s="79" t="s">
        <v>1388</v>
      </c>
      <c r="AD23" s="79" t="s">
        <v>1387</v>
      </c>
      <c r="AE23" s="79" t="s">
        <v>1386</v>
      </c>
      <c r="AF23" s="79" t="s">
        <v>1387</v>
      </c>
      <c r="AG23" s="79" t="s">
        <v>1387</v>
      </c>
      <c r="AH23" s="79" t="s">
        <v>1387</v>
      </c>
      <c r="AI23" s="79" t="s">
        <v>1387</v>
      </c>
      <c r="AJ23" s="79" t="s">
        <v>1466</v>
      </c>
      <c r="AK23" s="92" t="s">
        <v>1291</v>
      </c>
      <c r="AL23" s="79" t="s">
        <v>1417</v>
      </c>
      <c r="AM23" s="79" t="s">
        <v>1418</v>
      </c>
      <c r="AN23" s="79" t="s">
        <v>1462</v>
      </c>
      <c r="AO23" s="79" t="s">
        <v>1453</v>
      </c>
      <c r="AP23" s="79" t="s">
        <v>1453</v>
      </c>
      <c r="AQ23" s="79">
        <v>3</v>
      </c>
      <c r="AR23" s="79" t="s">
        <v>1460</v>
      </c>
      <c r="AS23" s="79" t="s">
        <v>1460</v>
      </c>
      <c r="AT23" s="93" t="s">
        <v>1429</v>
      </c>
    </row>
    <row r="24" spans="1:46" s="91" customFormat="1" ht="33.75" x14ac:dyDescent="0.25">
      <c r="A24" s="79" t="s">
        <v>74</v>
      </c>
      <c r="B24" s="79" t="s">
        <v>1384</v>
      </c>
      <c r="C24" s="79" t="s">
        <v>1389</v>
      </c>
      <c r="D24" s="79" t="s">
        <v>1388</v>
      </c>
      <c r="E24" s="82">
        <v>46023</v>
      </c>
      <c r="F24" s="82">
        <v>46387</v>
      </c>
      <c r="G24" s="82">
        <v>46174</v>
      </c>
      <c r="H24" s="82">
        <v>46203</v>
      </c>
      <c r="I24" s="104">
        <f>IFERROR(NETWORKDAYS($A$1,Table1[[#This Row],[FOB/PLC VALIDITY EXPIRY DATE ]]),"-")</f>
        <v>136</v>
      </c>
      <c r="J24" s="104">
        <f>IFERROR(NETWORKDAYS($A$1,Table1[[#This Row],[OFR VALIDITY EXPIRY DATE ]]),"-")</f>
        <v>4</v>
      </c>
      <c r="K24" s="79" t="s">
        <v>1363</v>
      </c>
      <c r="L24" s="79" t="s">
        <v>1367</v>
      </c>
      <c r="M24" s="79" t="s">
        <v>49</v>
      </c>
      <c r="N24" s="79" t="s">
        <v>1391</v>
      </c>
      <c r="O24" s="79" t="s">
        <v>1384</v>
      </c>
      <c r="P24" s="79" t="s">
        <v>1384</v>
      </c>
      <c r="Q24" s="79" t="s">
        <v>1384</v>
      </c>
      <c r="R24" s="79" t="s">
        <v>1384</v>
      </c>
      <c r="S24" s="79" t="s">
        <v>1388</v>
      </c>
      <c r="T24" s="79" t="s">
        <v>1388</v>
      </c>
      <c r="U24" s="79" t="s">
        <v>1388</v>
      </c>
      <c r="V24" s="79" t="s">
        <v>1389</v>
      </c>
      <c r="W24" s="79" t="s">
        <v>1389</v>
      </c>
      <c r="X24" s="79" t="s">
        <v>1389</v>
      </c>
      <c r="Y24" s="79" t="s">
        <v>1388</v>
      </c>
      <c r="Z24" s="79" t="s">
        <v>1388</v>
      </c>
      <c r="AA24" s="79" t="s">
        <v>1388</v>
      </c>
      <c r="AB24" s="79" t="s">
        <v>1388</v>
      </c>
      <c r="AC24" s="79" t="s">
        <v>1388</v>
      </c>
      <c r="AD24" s="79" t="s">
        <v>1385</v>
      </c>
      <c r="AE24" s="79" t="s">
        <v>1386</v>
      </c>
      <c r="AF24" s="79" t="s">
        <v>1387</v>
      </c>
      <c r="AG24" s="79" t="s">
        <v>1386</v>
      </c>
      <c r="AH24" s="79" t="s">
        <v>1386</v>
      </c>
      <c r="AI24" s="79" t="s">
        <v>1387</v>
      </c>
      <c r="AJ24" s="79" t="s">
        <v>1468</v>
      </c>
      <c r="AK24" s="92">
        <v>4.3749999999999997E-2</v>
      </c>
      <c r="AL24" s="79" t="s">
        <v>1417</v>
      </c>
      <c r="AM24" s="79" t="s">
        <v>1418</v>
      </c>
      <c r="AN24" s="79" t="s">
        <v>1462</v>
      </c>
      <c r="AO24" s="79" t="s">
        <v>1460</v>
      </c>
      <c r="AP24" s="79" t="s">
        <v>1453</v>
      </c>
      <c r="AQ24" s="79">
        <v>3</v>
      </c>
      <c r="AR24" s="79" t="s">
        <v>1460</v>
      </c>
      <c r="AS24" s="79" t="s">
        <v>1460</v>
      </c>
      <c r="AT24" s="93" t="s">
        <v>27</v>
      </c>
    </row>
    <row r="25" spans="1:46" s="91" customFormat="1" ht="33.75" x14ac:dyDescent="0.25">
      <c r="A25" s="79" t="s">
        <v>75</v>
      </c>
      <c r="B25" s="79" t="s">
        <v>1384</v>
      </c>
      <c r="C25" s="79" t="s">
        <v>1388</v>
      </c>
      <c r="D25" s="79" t="s">
        <v>1388</v>
      </c>
      <c r="E25" s="82">
        <v>46023</v>
      </c>
      <c r="F25" s="82">
        <v>46387</v>
      </c>
      <c r="G25" s="82">
        <v>46174</v>
      </c>
      <c r="H25" s="82">
        <v>46203</v>
      </c>
      <c r="I25" s="104">
        <f>IFERROR(NETWORKDAYS($A$1,Table1[[#This Row],[FOB/PLC VALIDITY EXPIRY DATE ]]),"-")</f>
        <v>136</v>
      </c>
      <c r="J25" s="104">
        <f>IFERROR(NETWORKDAYS($A$1,Table1[[#This Row],[OFR VALIDITY EXPIRY DATE ]]),"-")</f>
        <v>4</v>
      </c>
      <c r="K25" s="79" t="s">
        <v>1363</v>
      </c>
      <c r="L25" s="79" t="s">
        <v>1366</v>
      </c>
      <c r="M25" s="79" t="s">
        <v>1400</v>
      </c>
      <c r="N25" s="79" t="s">
        <v>1401</v>
      </c>
      <c r="O25" s="79" t="s">
        <v>1384</v>
      </c>
      <c r="P25" s="79" t="s">
        <v>1384</v>
      </c>
      <c r="Q25" s="79" t="s">
        <v>1384</v>
      </c>
      <c r="R25" s="79" t="s">
        <v>1384</v>
      </c>
      <c r="S25" s="79" t="s">
        <v>1388</v>
      </c>
      <c r="T25" s="79" t="s">
        <v>1388</v>
      </c>
      <c r="U25" s="79" t="s">
        <v>1388</v>
      </c>
      <c r="V25" s="79" t="s">
        <v>1388</v>
      </c>
      <c r="W25" s="79" t="s">
        <v>1388</v>
      </c>
      <c r="X25" s="79" t="s">
        <v>1388</v>
      </c>
      <c r="Y25" s="79" t="s">
        <v>1388</v>
      </c>
      <c r="Z25" s="79" t="s">
        <v>1388</v>
      </c>
      <c r="AA25" s="79" t="s">
        <v>1388</v>
      </c>
      <c r="AB25" s="79" t="s">
        <v>1388</v>
      </c>
      <c r="AC25" s="79" t="s">
        <v>1388</v>
      </c>
      <c r="AD25" s="79" t="s">
        <v>1387</v>
      </c>
      <c r="AE25" s="79" t="s">
        <v>1386</v>
      </c>
      <c r="AF25" s="79" t="s">
        <v>1387</v>
      </c>
      <c r="AG25" s="79" t="s">
        <v>1387</v>
      </c>
      <c r="AH25" s="79" t="s">
        <v>1387</v>
      </c>
      <c r="AI25" s="79" t="s">
        <v>1387</v>
      </c>
      <c r="AJ25" s="79" t="s">
        <v>1466</v>
      </c>
      <c r="AK25" s="92" t="s">
        <v>1411</v>
      </c>
      <c r="AL25" s="79" t="s">
        <v>1417</v>
      </c>
      <c r="AM25" s="79" t="s">
        <v>1463</v>
      </c>
      <c r="AN25" s="79" t="s">
        <v>1462</v>
      </c>
      <c r="AO25" s="79" t="s">
        <v>1460</v>
      </c>
      <c r="AP25" s="79" t="s">
        <v>1460</v>
      </c>
      <c r="AQ25" s="79">
        <v>3</v>
      </c>
      <c r="AR25" s="79" t="s">
        <v>1460</v>
      </c>
      <c r="AS25" s="79" t="s">
        <v>1460</v>
      </c>
      <c r="AT25" s="93" t="s">
        <v>1430</v>
      </c>
    </row>
    <row r="26" spans="1:46" s="91" customFormat="1" ht="45" x14ac:dyDescent="0.25">
      <c r="A26" s="79" t="s">
        <v>77</v>
      </c>
      <c r="B26" s="79" t="s">
        <v>1384</v>
      </c>
      <c r="C26" s="79" t="s">
        <v>1390</v>
      </c>
      <c r="D26" s="79" t="s">
        <v>1388</v>
      </c>
      <c r="E26" s="82">
        <v>46054</v>
      </c>
      <c r="F26" s="82">
        <v>46387</v>
      </c>
      <c r="G26" s="82">
        <v>46143</v>
      </c>
      <c r="H26" s="82">
        <v>46265</v>
      </c>
      <c r="I26" s="104">
        <f>IFERROR(NETWORKDAYS($A$1,Table1[[#This Row],[FOB/PLC VALIDITY EXPIRY DATE ]]),"-")</f>
        <v>136</v>
      </c>
      <c r="J26" s="104">
        <f>IFERROR(NETWORKDAYS($A$1,Table1[[#This Row],[OFR VALIDITY EXPIRY DATE ]]),"-")</f>
        <v>48</v>
      </c>
      <c r="K26" s="79" t="s">
        <v>1363</v>
      </c>
      <c r="L26" s="79" t="s">
        <v>1367</v>
      </c>
      <c r="M26" s="79" t="s">
        <v>1402</v>
      </c>
      <c r="N26" s="79" t="s">
        <v>1393</v>
      </c>
      <c r="O26" s="79" t="s">
        <v>1384</v>
      </c>
      <c r="P26" s="79" t="s">
        <v>1384</v>
      </c>
      <c r="Q26" s="79" t="s">
        <v>1384</v>
      </c>
      <c r="R26" s="79" t="s">
        <v>1384</v>
      </c>
      <c r="S26" s="79" t="s">
        <v>1388</v>
      </c>
      <c r="T26" s="79" t="s">
        <v>1388</v>
      </c>
      <c r="U26" s="79" t="s">
        <v>1388</v>
      </c>
      <c r="V26" s="79" t="s">
        <v>1390</v>
      </c>
      <c r="W26" s="79" t="s">
        <v>1390</v>
      </c>
      <c r="X26" s="79" t="s">
        <v>1390</v>
      </c>
      <c r="Y26" s="79" t="s">
        <v>1388</v>
      </c>
      <c r="Z26" s="79" t="s">
        <v>1388</v>
      </c>
      <c r="AA26" s="79" t="s">
        <v>1388</v>
      </c>
      <c r="AB26" s="79" t="s">
        <v>1425</v>
      </c>
      <c r="AC26" s="79" t="s">
        <v>1425</v>
      </c>
      <c r="AD26" s="79" t="s">
        <v>1464</v>
      </c>
      <c r="AE26" s="79" t="s">
        <v>1386</v>
      </c>
      <c r="AF26" s="79" t="s">
        <v>1386</v>
      </c>
      <c r="AG26" s="79" t="s">
        <v>1387</v>
      </c>
      <c r="AH26" s="79" t="s">
        <v>1387</v>
      </c>
      <c r="AI26" s="79" t="s">
        <v>1387</v>
      </c>
      <c r="AJ26" s="79" t="s">
        <v>1469</v>
      </c>
      <c r="AK26" s="92" t="s">
        <v>1412</v>
      </c>
      <c r="AL26" s="79" t="s">
        <v>1417</v>
      </c>
      <c r="AM26" s="79" t="s">
        <v>1463</v>
      </c>
      <c r="AN26" s="79" t="s">
        <v>1462</v>
      </c>
      <c r="AO26" s="79" t="s">
        <v>1453</v>
      </c>
      <c r="AP26" s="79" t="s">
        <v>1460</v>
      </c>
      <c r="AQ26" s="79" t="s">
        <v>1452</v>
      </c>
      <c r="AR26" s="79" t="s">
        <v>1460</v>
      </c>
      <c r="AS26" s="79" t="s">
        <v>1460</v>
      </c>
      <c r="AT26" s="93" t="s">
        <v>1431</v>
      </c>
    </row>
    <row r="27" spans="1:46" s="91" customFormat="1" ht="45" x14ac:dyDescent="0.25">
      <c r="A27" s="79" t="s">
        <v>78</v>
      </c>
      <c r="B27" s="79" t="s">
        <v>1384</v>
      </c>
      <c r="C27" s="79" t="s">
        <v>1390</v>
      </c>
      <c r="D27" s="79" t="s">
        <v>1388</v>
      </c>
      <c r="E27" s="82">
        <v>46023</v>
      </c>
      <c r="F27" s="82">
        <v>46387</v>
      </c>
      <c r="G27" s="82">
        <v>46204</v>
      </c>
      <c r="H27" s="82">
        <v>46295</v>
      </c>
      <c r="I27" s="104">
        <f>IFERROR(NETWORKDAYS($A$1,Table1[[#This Row],[FOB/PLC VALIDITY EXPIRY DATE ]]),"-")</f>
        <v>136</v>
      </c>
      <c r="J27" s="104">
        <f>IFERROR(NETWORKDAYS($A$1,Table1[[#This Row],[OFR VALIDITY EXPIRY DATE ]]),"-")</f>
        <v>70</v>
      </c>
      <c r="K27" s="79" t="s">
        <v>1363</v>
      </c>
      <c r="L27" s="79" t="s">
        <v>1366</v>
      </c>
      <c r="M27" s="79" t="s">
        <v>59</v>
      </c>
      <c r="N27" s="79" t="s">
        <v>1376</v>
      </c>
      <c r="O27" s="79" t="s">
        <v>1384</v>
      </c>
      <c r="P27" s="79" t="s">
        <v>1384</v>
      </c>
      <c r="Q27" s="79" t="s">
        <v>1384</v>
      </c>
      <c r="R27" s="79" t="s">
        <v>1384</v>
      </c>
      <c r="S27" s="79" t="s">
        <v>1388</v>
      </c>
      <c r="T27" s="79" t="s">
        <v>1388</v>
      </c>
      <c r="U27" s="79" t="s">
        <v>1388</v>
      </c>
      <c r="V27" s="79" t="s">
        <v>1390</v>
      </c>
      <c r="W27" s="79" t="s">
        <v>1390</v>
      </c>
      <c r="X27" s="79" t="s">
        <v>1438</v>
      </c>
      <c r="Y27" s="79" t="s">
        <v>1388</v>
      </c>
      <c r="Z27" s="79" t="s">
        <v>1388</v>
      </c>
      <c r="AA27" s="79" t="s">
        <v>1388</v>
      </c>
      <c r="AB27" s="79" t="s">
        <v>1388</v>
      </c>
      <c r="AC27" s="79" t="s">
        <v>1470</v>
      </c>
      <c r="AD27" s="79" t="s">
        <v>1464</v>
      </c>
      <c r="AE27" s="79" t="s">
        <v>1386</v>
      </c>
      <c r="AF27" s="79" t="s">
        <v>1386</v>
      </c>
      <c r="AG27" s="79" t="s">
        <v>1387</v>
      </c>
      <c r="AH27" s="79" t="s">
        <v>1387</v>
      </c>
      <c r="AI27" s="79" t="s">
        <v>1387</v>
      </c>
      <c r="AJ27" s="79" t="s">
        <v>1469</v>
      </c>
      <c r="AK27" s="92" t="s">
        <v>1411</v>
      </c>
      <c r="AL27" s="79" t="s">
        <v>1417</v>
      </c>
      <c r="AM27" s="79" t="s">
        <v>1418</v>
      </c>
      <c r="AN27" s="79" t="s">
        <v>1462</v>
      </c>
      <c r="AO27" s="79" t="s">
        <v>1453</v>
      </c>
      <c r="AP27" s="79" t="s">
        <v>1460</v>
      </c>
      <c r="AQ27" s="79">
        <v>5</v>
      </c>
      <c r="AR27" s="79" t="s">
        <v>1460</v>
      </c>
      <c r="AS27" s="79" t="s">
        <v>1460</v>
      </c>
      <c r="AT27" s="93" t="s">
        <v>1424</v>
      </c>
    </row>
    <row r="28" spans="1:46" s="91" customFormat="1" ht="33.75" x14ac:dyDescent="0.25">
      <c r="A28" s="79" t="s">
        <v>79</v>
      </c>
      <c r="B28" s="79" t="s">
        <v>1384</v>
      </c>
      <c r="C28" s="79" t="s">
        <v>1389</v>
      </c>
      <c r="D28" s="79" t="s">
        <v>1388</v>
      </c>
      <c r="E28" s="82">
        <v>46023</v>
      </c>
      <c r="F28" s="82">
        <v>46387</v>
      </c>
      <c r="G28" s="82">
        <v>46174</v>
      </c>
      <c r="H28" s="82">
        <v>46203</v>
      </c>
      <c r="I28" s="104">
        <f>IFERROR(NETWORKDAYS($A$1,Table1[[#This Row],[FOB/PLC VALIDITY EXPIRY DATE ]]),"-")</f>
        <v>136</v>
      </c>
      <c r="J28" s="104">
        <f>IFERROR(NETWORKDAYS($A$1,Table1[[#This Row],[OFR VALIDITY EXPIRY DATE ]]),"-")</f>
        <v>4</v>
      </c>
      <c r="K28" s="79" t="s">
        <v>1363</v>
      </c>
      <c r="L28" s="79" t="s">
        <v>1367</v>
      </c>
      <c r="M28" s="79" t="s">
        <v>73</v>
      </c>
      <c r="N28" s="79" t="s">
        <v>1398</v>
      </c>
      <c r="O28" s="79" t="s">
        <v>1384</v>
      </c>
      <c r="P28" s="79" t="s">
        <v>1384</v>
      </c>
      <c r="Q28" s="79" t="s">
        <v>1384</v>
      </c>
      <c r="R28" s="79" t="s">
        <v>1384</v>
      </c>
      <c r="S28" s="79" t="s">
        <v>1388</v>
      </c>
      <c r="T28" s="79" t="s">
        <v>1388</v>
      </c>
      <c r="U28" s="79" t="s">
        <v>1388</v>
      </c>
      <c r="V28" s="79" t="s">
        <v>1389</v>
      </c>
      <c r="W28" s="79" t="s">
        <v>1389</v>
      </c>
      <c r="X28" s="79" t="s">
        <v>1389</v>
      </c>
      <c r="Y28" s="79" t="s">
        <v>1388</v>
      </c>
      <c r="Z28" s="79" t="s">
        <v>1388</v>
      </c>
      <c r="AA28" s="79" t="s">
        <v>1388</v>
      </c>
      <c r="AB28" s="79" t="s">
        <v>1388</v>
      </c>
      <c r="AC28" s="79" t="s">
        <v>1388</v>
      </c>
      <c r="AD28" s="79" t="s">
        <v>1387</v>
      </c>
      <c r="AE28" s="79" t="s">
        <v>1387</v>
      </c>
      <c r="AF28" s="79" t="s">
        <v>1387</v>
      </c>
      <c r="AG28" s="79" t="s">
        <v>1387</v>
      </c>
      <c r="AH28" s="79" t="s">
        <v>1387</v>
      </c>
      <c r="AI28" s="79" t="s">
        <v>1386</v>
      </c>
      <c r="AJ28" s="79" t="s">
        <v>1466</v>
      </c>
      <c r="AK28" s="92" t="s">
        <v>1297</v>
      </c>
      <c r="AL28" s="79" t="s">
        <v>1417</v>
      </c>
      <c r="AM28" s="79" t="s">
        <v>1463</v>
      </c>
      <c r="AN28" s="79" t="s">
        <v>1462</v>
      </c>
      <c r="AO28" s="79" t="s">
        <v>1460</v>
      </c>
      <c r="AP28" s="79" t="s">
        <v>1453</v>
      </c>
      <c r="AQ28" s="79">
        <v>2</v>
      </c>
      <c r="AR28" s="79" t="s">
        <v>1460</v>
      </c>
      <c r="AS28" s="79" t="s">
        <v>1460</v>
      </c>
      <c r="AT28" s="93" t="s">
        <v>1432</v>
      </c>
    </row>
    <row r="29" spans="1:46" s="91" customFormat="1" ht="33.75" x14ac:dyDescent="0.25">
      <c r="A29" s="79" t="s">
        <v>80</v>
      </c>
      <c r="B29" s="79" t="s">
        <v>1390</v>
      </c>
      <c r="C29" s="79" t="s">
        <v>1389</v>
      </c>
      <c r="D29" s="79" t="s">
        <v>1388</v>
      </c>
      <c r="E29" s="82">
        <v>46204</v>
      </c>
      <c r="F29" s="82">
        <v>46295</v>
      </c>
      <c r="G29" s="82">
        <v>46174</v>
      </c>
      <c r="H29" s="82">
        <v>46203</v>
      </c>
      <c r="I29" s="104">
        <f>IFERROR(NETWORKDAYS($A$1,Table1[[#This Row],[FOB/PLC VALIDITY EXPIRY DATE ]]),"-")</f>
        <v>70</v>
      </c>
      <c r="J29" s="104">
        <f>IFERROR(NETWORKDAYS($A$1,Table1[[#This Row],[OFR VALIDITY EXPIRY DATE ]]),"-")</f>
        <v>4</v>
      </c>
      <c r="K29" s="79" t="s">
        <v>1363</v>
      </c>
      <c r="L29" s="79" t="s">
        <v>1366</v>
      </c>
      <c r="M29" s="79" t="s">
        <v>59</v>
      </c>
      <c r="N29" s="79" t="s">
        <v>1376</v>
      </c>
      <c r="O29" s="79" t="s">
        <v>1390</v>
      </c>
      <c r="P29" s="79" t="s">
        <v>1390</v>
      </c>
      <c r="Q29" s="79" t="s">
        <v>1390</v>
      </c>
      <c r="R29" s="79" t="s">
        <v>1390</v>
      </c>
      <c r="S29" s="79" t="s">
        <v>1388</v>
      </c>
      <c r="T29" s="79" t="s">
        <v>1388</v>
      </c>
      <c r="U29" s="79" t="s">
        <v>1388</v>
      </c>
      <c r="V29" s="79" t="s">
        <v>1389</v>
      </c>
      <c r="W29" s="79" t="s">
        <v>1389</v>
      </c>
      <c r="X29" s="79" t="s">
        <v>1390</v>
      </c>
      <c r="Y29" s="79" t="s">
        <v>1388</v>
      </c>
      <c r="Z29" s="79" t="s">
        <v>1388</v>
      </c>
      <c r="AA29" s="79" t="s">
        <v>1388</v>
      </c>
      <c r="AB29" s="79" t="s">
        <v>1388</v>
      </c>
      <c r="AC29" s="79" t="s">
        <v>1388</v>
      </c>
      <c r="AD29" s="79" t="s">
        <v>1387</v>
      </c>
      <c r="AE29" s="79" t="s">
        <v>1387</v>
      </c>
      <c r="AF29" s="79" t="s">
        <v>1387</v>
      </c>
      <c r="AG29" s="79" t="s">
        <v>1387</v>
      </c>
      <c r="AH29" s="79" t="s">
        <v>1387</v>
      </c>
      <c r="AI29" s="79" t="s">
        <v>1387</v>
      </c>
      <c r="AJ29" s="79" t="s">
        <v>1466</v>
      </c>
      <c r="AK29" s="92" t="s">
        <v>1291</v>
      </c>
      <c r="AL29" s="79" t="s">
        <v>1417</v>
      </c>
      <c r="AM29" s="79" t="s">
        <v>1418</v>
      </c>
      <c r="AN29" s="79" t="s">
        <v>1462</v>
      </c>
      <c r="AO29" s="79" t="s">
        <v>1453</v>
      </c>
      <c r="AP29" s="79" t="s">
        <v>1453</v>
      </c>
      <c r="AQ29" s="79">
        <v>3</v>
      </c>
      <c r="AR29" s="79" t="s">
        <v>1460</v>
      </c>
      <c r="AS29" s="79" t="s">
        <v>1460</v>
      </c>
      <c r="AT29" s="93" t="s">
        <v>1433</v>
      </c>
    </row>
    <row r="30" spans="1:46" s="91" customFormat="1" ht="33.75" x14ac:dyDescent="0.25">
      <c r="A30" s="79" t="s">
        <v>81</v>
      </c>
      <c r="B30" s="79" t="s">
        <v>1409</v>
      </c>
      <c r="C30" s="79" t="s">
        <v>1389</v>
      </c>
      <c r="D30" s="79" t="s">
        <v>1388</v>
      </c>
      <c r="E30" s="82">
        <v>46204</v>
      </c>
      <c r="F30" s="82">
        <v>46387</v>
      </c>
      <c r="G30" s="82">
        <v>46174</v>
      </c>
      <c r="H30" s="82">
        <v>46203</v>
      </c>
      <c r="I30" s="104">
        <f>IFERROR(NETWORKDAYS($A$1,Table1[[#This Row],[FOB/PLC VALIDITY EXPIRY DATE ]]),"-")</f>
        <v>136</v>
      </c>
      <c r="J30" s="104">
        <f>IFERROR(NETWORKDAYS($A$1,Table1[[#This Row],[OFR VALIDITY EXPIRY DATE ]]),"-")</f>
        <v>4</v>
      </c>
      <c r="K30" s="79" t="s">
        <v>1363</v>
      </c>
      <c r="L30" s="79" t="s">
        <v>1367</v>
      </c>
      <c r="M30" s="79" t="s">
        <v>1403</v>
      </c>
      <c r="N30" s="79" t="s">
        <v>1376</v>
      </c>
      <c r="O30" s="79" t="s">
        <v>1409</v>
      </c>
      <c r="P30" s="79" t="s">
        <v>1409</v>
      </c>
      <c r="Q30" s="79" t="s">
        <v>1409</v>
      </c>
      <c r="R30" s="79" t="s">
        <v>1409</v>
      </c>
      <c r="S30" s="79" t="s">
        <v>1388</v>
      </c>
      <c r="T30" s="79" t="s">
        <v>1388</v>
      </c>
      <c r="U30" s="79" t="s">
        <v>1388</v>
      </c>
      <c r="V30" s="79"/>
      <c r="W30" s="79" t="s">
        <v>1389</v>
      </c>
      <c r="X30" s="79" t="s">
        <v>1389</v>
      </c>
      <c r="Y30" s="79" t="s">
        <v>1388</v>
      </c>
      <c r="Z30" s="79" t="s">
        <v>1388</v>
      </c>
      <c r="AA30" s="79" t="s">
        <v>1388</v>
      </c>
      <c r="AB30" s="79" t="s">
        <v>1388</v>
      </c>
      <c r="AC30" s="79" t="s">
        <v>1388</v>
      </c>
      <c r="AD30" s="79" t="s">
        <v>1387</v>
      </c>
      <c r="AE30" s="79" t="s">
        <v>1387</v>
      </c>
      <c r="AF30" s="79" t="s">
        <v>1387</v>
      </c>
      <c r="AG30" s="79" t="s">
        <v>1387</v>
      </c>
      <c r="AH30" s="79" t="s">
        <v>1387</v>
      </c>
      <c r="AI30" s="79" t="s">
        <v>1387</v>
      </c>
      <c r="AJ30" s="79" t="s">
        <v>1466</v>
      </c>
      <c r="AK30" s="92" t="s">
        <v>1411</v>
      </c>
      <c r="AL30" s="79" t="s">
        <v>1417</v>
      </c>
      <c r="AM30" s="79" t="s">
        <v>1418</v>
      </c>
      <c r="AN30" s="79" t="s">
        <v>1462</v>
      </c>
      <c r="AO30" s="79" t="s">
        <v>1460</v>
      </c>
      <c r="AP30" s="79" t="s">
        <v>1453</v>
      </c>
      <c r="AQ30" s="79">
        <v>3</v>
      </c>
      <c r="AR30" s="79" t="s">
        <v>1453</v>
      </c>
      <c r="AS30" s="79" t="s">
        <v>1453</v>
      </c>
      <c r="AT30" s="93" t="s">
        <v>1434</v>
      </c>
    </row>
    <row r="31" spans="1:46" s="91" customFormat="1" ht="33.75" x14ac:dyDescent="0.25">
      <c r="A31" s="79" t="s">
        <v>82</v>
      </c>
      <c r="B31" s="79" t="s">
        <v>1384</v>
      </c>
      <c r="C31" s="79" t="s">
        <v>1389</v>
      </c>
      <c r="D31" s="79" t="s">
        <v>1389</v>
      </c>
      <c r="E31" s="82">
        <v>46023</v>
      </c>
      <c r="F31" s="82">
        <v>46387</v>
      </c>
      <c r="G31" s="82">
        <v>46174</v>
      </c>
      <c r="H31" s="82">
        <v>46203</v>
      </c>
      <c r="I31" s="104">
        <f>IFERROR(NETWORKDAYS($A$1,Table1[[#This Row],[FOB/PLC VALIDITY EXPIRY DATE ]]),"-")</f>
        <v>136</v>
      </c>
      <c r="J31" s="104">
        <f>IFERROR(NETWORKDAYS($A$1,Table1[[#This Row],[OFR VALIDITY EXPIRY DATE ]]),"-")</f>
        <v>4</v>
      </c>
      <c r="K31" s="79" t="s">
        <v>1363</v>
      </c>
      <c r="L31" s="79" t="s">
        <v>1366</v>
      </c>
      <c r="M31" s="79" t="s">
        <v>1402</v>
      </c>
      <c r="N31" s="79" t="s">
        <v>1393</v>
      </c>
      <c r="O31" s="79" t="s">
        <v>1384</v>
      </c>
      <c r="P31" s="79" t="s">
        <v>1384</v>
      </c>
      <c r="Q31" s="79" t="s">
        <v>1384</v>
      </c>
      <c r="R31" s="79" t="s">
        <v>1384</v>
      </c>
      <c r="S31" s="79" t="s">
        <v>1388</v>
      </c>
      <c r="T31" s="79" t="s">
        <v>1388</v>
      </c>
      <c r="U31" s="79" t="s">
        <v>1388</v>
      </c>
      <c r="V31" s="79" t="s">
        <v>1389</v>
      </c>
      <c r="W31" s="79" t="s">
        <v>1389</v>
      </c>
      <c r="X31" s="79" t="s">
        <v>1471</v>
      </c>
      <c r="Y31" s="79" t="s">
        <v>1389</v>
      </c>
      <c r="Z31" s="79" t="s">
        <v>1389</v>
      </c>
      <c r="AA31" s="79" t="s">
        <v>1389</v>
      </c>
      <c r="AB31" s="79" t="s">
        <v>1389</v>
      </c>
      <c r="AC31" s="79" t="s">
        <v>1389</v>
      </c>
      <c r="AD31" s="79" t="s">
        <v>1387</v>
      </c>
      <c r="AE31" s="79" t="s">
        <v>1386</v>
      </c>
      <c r="AF31" s="79" t="s">
        <v>1387</v>
      </c>
      <c r="AG31" s="79" t="s">
        <v>1387</v>
      </c>
      <c r="AH31" s="79" t="s">
        <v>1387</v>
      </c>
      <c r="AI31" s="79" t="s">
        <v>1387</v>
      </c>
      <c r="AJ31" s="79" t="s">
        <v>1466</v>
      </c>
      <c r="AK31" s="92">
        <v>4.3749999999999997E-2</v>
      </c>
      <c r="AL31" s="79" t="s">
        <v>1417</v>
      </c>
      <c r="AM31" s="79" t="s">
        <v>1418</v>
      </c>
      <c r="AN31" s="79" t="s">
        <v>1462</v>
      </c>
      <c r="AO31" s="79" t="s">
        <v>1458</v>
      </c>
      <c r="AP31" s="79" t="s">
        <v>1460</v>
      </c>
      <c r="AQ31" s="79" t="s">
        <v>1450</v>
      </c>
      <c r="AR31" s="79" t="s">
        <v>1460</v>
      </c>
      <c r="AS31" s="79" t="s">
        <v>1460</v>
      </c>
      <c r="AT31" s="93" t="s">
        <v>1435</v>
      </c>
    </row>
    <row r="32" spans="1:46" s="91" customFormat="1" ht="33.75" x14ac:dyDescent="0.25">
      <c r="A32" s="79" t="s">
        <v>84</v>
      </c>
      <c r="B32" s="79" t="s">
        <v>1384</v>
      </c>
      <c r="C32" s="79" t="s">
        <v>1389</v>
      </c>
      <c r="D32" s="79" t="s">
        <v>1388</v>
      </c>
      <c r="E32" s="82">
        <v>46023</v>
      </c>
      <c r="F32" s="82">
        <v>46387</v>
      </c>
      <c r="G32" s="82">
        <v>46174</v>
      </c>
      <c r="H32" s="82">
        <v>46203</v>
      </c>
      <c r="I32" s="104">
        <f>IFERROR(NETWORKDAYS($A$1,Table1[[#This Row],[FOB/PLC VALIDITY EXPIRY DATE ]]),"-")</f>
        <v>136</v>
      </c>
      <c r="J32" s="104">
        <f>IFERROR(NETWORKDAYS($A$1,Table1[[#This Row],[OFR VALIDITY EXPIRY DATE ]]),"-")</f>
        <v>4</v>
      </c>
      <c r="K32" s="79" t="s">
        <v>1363</v>
      </c>
      <c r="L32" s="79" t="s">
        <v>1367</v>
      </c>
      <c r="M32" s="79" t="s">
        <v>1402</v>
      </c>
      <c r="N32" s="79" t="s">
        <v>1393</v>
      </c>
      <c r="O32" s="79" t="s">
        <v>1384</v>
      </c>
      <c r="P32" s="79" t="s">
        <v>1384</v>
      </c>
      <c r="Q32" s="79" t="s">
        <v>1384</v>
      </c>
      <c r="R32" s="79" t="s">
        <v>1384</v>
      </c>
      <c r="S32" s="79" t="s">
        <v>1388</v>
      </c>
      <c r="T32" s="79" t="s">
        <v>1388</v>
      </c>
      <c r="U32" s="79" t="s">
        <v>1388</v>
      </c>
      <c r="V32" s="79" t="s">
        <v>1389</v>
      </c>
      <c r="W32" s="79" t="s">
        <v>1389</v>
      </c>
      <c r="X32" s="79" t="s">
        <v>1389</v>
      </c>
      <c r="Y32" s="79" t="s">
        <v>1388</v>
      </c>
      <c r="Z32" s="79" t="s">
        <v>1388</v>
      </c>
      <c r="AA32" s="79" t="s">
        <v>1388</v>
      </c>
      <c r="AB32" s="79" t="s">
        <v>1470</v>
      </c>
      <c r="AC32" s="79" t="s">
        <v>1470</v>
      </c>
      <c r="AD32" s="79" t="s">
        <v>1465</v>
      </c>
      <c r="AE32" s="79" t="s">
        <v>1387</v>
      </c>
      <c r="AF32" s="79" t="s">
        <v>1387</v>
      </c>
      <c r="AG32" s="79" t="s">
        <v>1386</v>
      </c>
      <c r="AH32" s="79" t="s">
        <v>1386</v>
      </c>
      <c r="AI32" s="79" t="s">
        <v>1387</v>
      </c>
      <c r="AJ32" s="79" t="s">
        <v>1467</v>
      </c>
      <c r="AK32" s="92" t="s">
        <v>1291</v>
      </c>
      <c r="AL32" s="79" t="s">
        <v>1417</v>
      </c>
      <c r="AM32" s="79" t="s">
        <v>1418</v>
      </c>
      <c r="AN32" s="79" t="s">
        <v>1462</v>
      </c>
      <c r="AO32" s="79" t="s">
        <v>1460</v>
      </c>
      <c r="AP32" s="79" t="s">
        <v>1453</v>
      </c>
      <c r="AQ32" s="79">
        <v>3</v>
      </c>
      <c r="AR32" s="79" t="s">
        <v>1460</v>
      </c>
      <c r="AS32" s="79" t="s">
        <v>1460</v>
      </c>
      <c r="AT32" s="93" t="s">
        <v>27</v>
      </c>
    </row>
    <row r="33" spans="1:46" s="91" customFormat="1" ht="33.75" x14ac:dyDescent="0.25">
      <c r="A33" s="79" t="s">
        <v>85</v>
      </c>
      <c r="B33" s="79" t="s">
        <v>1384</v>
      </c>
      <c r="C33" s="79" t="s">
        <v>1389</v>
      </c>
      <c r="D33" s="79" t="s">
        <v>1388</v>
      </c>
      <c r="E33" s="82">
        <v>46023</v>
      </c>
      <c r="F33" s="82">
        <v>46387</v>
      </c>
      <c r="G33" s="82">
        <v>46174</v>
      </c>
      <c r="H33" s="82">
        <v>46203</v>
      </c>
      <c r="I33" s="104">
        <f>IFERROR(NETWORKDAYS($A$1,Table1[[#This Row],[FOB/PLC VALIDITY EXPIRY DATE ]]),"-")</f>
        <v>136</v>
      </c>
      <c r="J33" s="104">
        <f>IFERROR(NETWORKDAYS($A$1,Table1[[#This Row],[OFR VALIDITY EXPIRY DATE ]]),"-")</f>
        <v>4</v>
      </c>
      <c r="K33" s="79" t="s">
        <v>1363</v>
      </c>
      <c r="L33" s="79" t="s">
        <v>1366</v>
      </c>
      <c r="M33" s="79" t="s">
        <v>1404</v>
      </c>
      <c r="N33" s="79" t="s">
        <v>1376</v>
      </c>
      <c r="O33" s="79" t="s">
        <v>1384</v>
      </c>
      <c r="P33" s="79" t="s">
        <v>1384</v>
      </c>
      <c r="Q33" s="79" t="s">
        <v>1384</v>
      </c>
      <c r="R33" s="79" t="s">
        <v>1384</v>
      </c>
      <c r="S33" s="79" t="s">
        <v>1388</v>
      </c>
      <c r="T33" s="79" t="s">
        <v>1388</v>
      </c>
      <c r="U33" s="79" t="s">
        <v>1388</v>
      </c>
      <c r="V33" s="79" t="s">
        <v>1389</v>
      </c>
      <c r="W33" s="79" t="s">
        <v>1389</v>
      </c>
      <c r="X33" s="79" t="s">
        <v>1389</v>
      </c>
      <c r="Y33" s="79" t="s">
        <v>1388</v>
      </c>
      <c r="Z33" s="79" t="s">
        <v>1388</v>
      </c>
      <c r="AA33" s="79" t="s">
        <v>1388</v>
      </c>
      <c r="AB33" s="79" t="s">
        <v>1388</v>
      </c>
      <c r="AC33" s="79" t="s">
        <v>1470</v>
      </c>
      <c r="AD33" s="79" t="s">
        <v>1387</v>
      </c>
      <c r="AE33" s="79" t="s">
        <v>1387</v>
      </c>
      <c r="AF33" s="79" t="s">
        <v>1387</v>
      </c>
      <c r="AG33" s="79" t="s">
        <v>1387</v>
      </c>
      <c r="AH33" s="79" t="s">
        <v>1387</v>
      </c>
      <c r="AI33" s="79" t="s">
        <v>1387</v>
      </c>
      <c r="AJ33" s="79" t="s">
        <v>1466</v>
      </c>
      <c r="AK33" s="92" t="s">
        <v>1411</v>
      </c>
      <c r="AL33" s="79" t="s">
        <v>1417</v>
      </c>
      <c r="AM33" s="79" t="s">
        <v>1418</v>
      </c>
      <c r="AN33" s="79" t="s">
        <v>1462</v>
      </c>
      <c r="AO33" s="79" t="s">
        <v>1460</v>
      </c>
      <c r="AP33" s="79" t="s">
        <v>1453</v>
      </c>
      <c r="AQ33" s="79">
        <v>5</v>
      </c>
      <c r="AR33" s="79" t="s">
        <v>1460</v>
      </c>
      <c r="AS33" s="79" t="s">
        <v>1460</v>
      </c>
      <c r="AT33" s="93" t="s">
        <v>1419</v>
      </c>
    </row>
    <row r="34" spans="1:46" s="91" customFormat="1" ht="33.75" x14ac:dyDescent="0.25">
      <c r="A34" s="79" t="s">
        <v>86</v>
      </c>
      <c r="B34" s="79" t="s">
        <v>1384</v>
      </c>
      <c r="C34" s="79" t="s">
        <v>1389</v>
      </c>
      <c r="D34" s="79" t="s">
        <v>1388</v>
      </c>
      <c r="E34" s="82">
        <v>46023</v>
      </c>
      <c r="F34" s="82">
        <v>46387</v>
      </c>
      <c r="G34" s="82">
        <v>46174</v>
      </c>
      <c r="H34" s="82">
        <v>46203</v>
      </c>
      <c r="I34" s="104">
        <f>IFERROR(NETWORKDAYS($A$1,Table1[[#This Row],[FOB/PLC VALIDITY EXPIRY DATE ]]),"-")</f>
        <v>136</v>
      </c>
      <c r="J34" s="104">
        <f>IFERROR(NETWORKDAYS($A$1,Table1[[#This Row],[OFR VALIDITY EXPIRY DATE ]]),"-")</f>
        <v>4</v>
      </c>
      <c r="K34" s="79" t="s">
        <v>1363</v>
      </c>
      <c r="L34" s="79" t="s">
        <v>1367</v>
      </c>
      <c r="M34" s="79" t="s">
        <v>1395</v>
      </c>
      <c r="N34" s="79" t="s">
        <v>1376</v>
      </c>
      <c r="O34" s="79" t="s">
        <v>1384</v>
      </c>
      <c r="P34" s="79" t="s">
        <v>1384</v>
      </c>
      <c r="Q34" s="79" t="s">
        <v>1384</v>
      </c>
      <c r="R34" s="79" t="s">
        <v>1384</v>
      </c>
      <c r="S34" s="79" t="s">
        <v>1388</v>
      </c>
      <c r="T34" s="79" t="s">
        <v>1388</v>
      </c>
      <c r="U34" s="79" t="s">
        <v>1388</v>
      </c>
      <c r="V34" s="79" t="s">
        <v>1389</v>
      </c>
      <c r="W34" s="79" t="s">
        <v>1389</v>
      </c>
      <c r="X34" s="79" t="s">
        <v>1389</v>
      </c>
      <c r="Y34" s="79" t="s">
        <v>1388</v>
      </c>
      <c r="Z34" s="79" t="s">
        <v>1388</v>
      </c>
      <c r="AA34" s="79" t="s">
        <v>1388</v>
      </c>
      <c r="AB34" s="79" t="s">
        <v>1388</v>
      </c>
      <c r="AC34" s="79" t="s">
        <v>1388</v>
      </c>
      <c r="AD34" s="79" t="s">
        <v>1387</v>
      </c>
      <c r="AE34" s="79" t="s">
        <v>1387</v>
      </c>
      <c r="AF34" s="79" t="s">
        <v>1387</v>
      </c>
      <c r="AG34" s="79" t="s">
        <v>1387</v>
      </c>
      <c r="AH34" s="79" t="s">
        <v>1387</v>
      </c>
      <c r="AI34" s="79" t="s">
        <v>1387</v>
      </c>
      <c r="AJ34" s="79" t="s">
        <v>1466</v>
      </c>
      <c r="AK34" s="92" t="s">
        <v>1411</v>
      </c>
      <c r="AL34" s="79" t="s">
        <v>1417</v>
      </c>
      <c r="AM34" s="79" t="s">
        <v>1418</v>
      </c>
      <c r="AN34" s="79" t="s">
        <v>1461</v>
      </c>
      <c r="AO34" s="79" t="s">
        <v>1456</v>
      </c>
      <c r="AP34" s="79" t="s">
        <v>1453</v>
      </c>
      <c r="AQ34" s="79">
        <v>3</v>
      </c>
      <c r="AR34" s="79" t="s">
        <v>1460</v>
      </c>
      <c r="AS34" s="79" t="s">
        <v>1460</v>
      </c>
      <c r="AT34" s="93" t="s">
        <v>1419</v>
      </c>
    </row>
    <row r="35" spans="1:46" s="91" customFormat="1" ht="33.75" x14ac:dyDescent="0.25">
      <c r="A35" s="79" t="s">
        <v>88</v>
      </c>
      <c r="B35" s="79" t="s">
        <v>1409</v>
      </c>
      <c r="C35" s="79" t="s">
        <v>1389</v>
      </c>
      <c r="D35" s="79" t="s">
        <v>1388</v>
      </c>
      <c r="E35" s="82">
        <v>46204</v>
      </c>
      <c r="F35" s="82">
        <v>46387</v>
      </c>
      <c r="G35" s="82">
        <v>46174</v>
      </c>
      <c r="H35" s="82">
        <v>46203</v>
      </c>
      <c r="I35" s="104">
        <f>IFERROR(NETWORKDAYS($A$1,Table1[[#This Row],[FOB/PLC VALIDITY EXPIRY DATE ]]),"-")</f>
        <v>136</v>
      </c>
      <c r="J35" s="104">
        <f>IFERROR(NETWORKDAYS($A$1,Table1[[#This Row],[OFR VALIDITY EXPIRY DATE ]]),"-")</f>
        <v>4</v>
      </c>
      <c r="K35" s="79" t="s">
        <v>1363</v>
      </c>
      <c r="L35" s="79" t="s">
        <v>1366</v>
      </c>
      <c r="M35" s="79" t="s">
        <v>89</v>
      </c>
      <c r="N35" s="79" t="s">
        <v>1391</v>
      </c>
      <c r="O35" s="79" t="s">
        <v>1409</v>
      </c>
      <c r="P35" s="79" t="s">
        <v>1409</v>
      </c>
      <c r="Q35" s="79" t="s">
        <v>1409</v>
      </c>
      <c r="R35" s="79" t="s">
        <v>1409</v>
      </c>
      <c r="S35" s="79" t="s">
        <v>1388</v>
      </c>
      <c r="T35" s="79" t="s">
        <v>1388</v>
      </c>
      <c r="U35" s="79" t="s">
        <v>1388</v>
      </c>
      <c r="V35" s="79" t="s">
        <v>1389</v>
      </c>
      <c r="W35" s="79" t="s">
        <v>1389</v>
      </c>
      <c r="X35" s="79" t="s">
        <v>1389</v>
      </c>
      <c r="Y35" s="79" t="s">
        <v>1388</v>
      </c>
      <c r="Z35" s="79" t="s">
        <v>1388</v>
      </c>
      <c r="AA35" s="79" t="s">
        <v>1388</v>
      </c>
      <c r="AB35" s="79" t="s">
        <v>1388</v>
      </c>
      <c r="AC35" s="79" t="s">
        <v>1388</v>
      </c>
      <c r="AD35" s="79" t="s">
        <v>1385</v>
      </c>
      <c r="AE35" s="79" t="s">
        <v>1386</v>
      </c>
      <c r="AF35" s="79" t="s">
        <v>1387</v>
      </c>
      <c r="AG35" s="79" t="s">
        <v>1387</v>
      </c>
      <c r="AH35" s="79" t="s">
        <v>1387</v>
      </c>
      <c r="AI35" s="79" t="s">
        <v>1387</v>
      </c>
      <c r="AJ35" s="79" t="s">
        <v>1468</v>
      </c>
      <c r="AK35" s="92" t="s">
        <v>1414</v>
      </c>
      <c r="AL35" s="79" t="s">
        <v>1417</v>
      </c>
      <c r="AM35" s="79" t="s">
        <v>1418</v>
      </c>
      <c r="AN35" s="79" t="s">
        <v>1462</v>
      </c>
      <c r="AO35" s="79" t="s">
        <v>1453</v>
      </c>
      <c r="AP35" s="79" t="s">
        <v>1454</v>
      </c>
      <c r="AQ35" s="79">
        <v>3</v>
      </c>
      <c r="AR35" s="79" t="s">
        <v>1460</v>
      </c>
      <c r="AS35" s="79" t="s">
        <v>1460</v>
      </c>
      <c r="AT35" s="93" t="s">
        <v>1436</v>
      </c>
    </row>
    <row r="36" spans="1:46" s="91" customFormat="1" ht="33.75" x14ac:dyDescent="0.25">
      <c r="A36" s="79" t="s">
        <v>90</v>
      </c>
      <c r="B36" s="79" t="s">
        <v>1390</v>
      </c>
      <c r="C36" s="79" t="s">
        <v>1390</v>
      </c>
      <c r="D36" s="79" t="s">
        <v>1388</v>
      </c>
      <c r="E36" s="82">
        <v>46204</v>
      </c>
      <c r="F36" s="82">
        <v>46295</v>
      </c>
      <c r="G36" s="82">
        <v>46204</v>
      </c>
      <c r="H36" s="82">
        <v>46295</v>
      </c>
      <c r="I36" s="104">
        <f>IFERROR(NETWORKDAYS($A$1,Table1[[#This Row],[FOB/PLC VALIDITY EXPIRY DATE ]]),"-")</f>
        <v>70</v>
      </c>
      <c r="J36" s="104">
        <f>IFERROR(NETWORKDAYS($A$1,Table1[[#This Row],[OFR VALIDITY EXPIRY DATE ]]),"-")</f>
        <v>70</v>
      </c>
      <c r="K36" s="79" t="s">
        <v>1363</v>
      </c>
      <c r="L36" s="79" t="s">
        <v>1367</v>
      </c>
      <c r="M36" s="79" t="s">
        <v>1257</v>
      </c>
      <c r="N36" s="79" t="s">
        <v>1405</v>
      </c>
      <c r="O36" s="79" t="s">
        <v>1390</v>
      </c>
      <c r="P36" s="79" t="s">
        <v>1390</v>
      </c>
      <c r="Q36" s="79" t="s">
        <v>1390</v>
      </c>
      <c r="R36" s="79" t="s">
        <v>1390</v>
      </c>
      <c r="S36" s="79" t="s">
        <v>1388</v>
      </c>
      <c r="T36" s="79" t="s">
        <v>1388</v>
      </c>
      <c r="U36" s="79" t="s">
        <v>1388</v>
      </c>
      <c r="V36" s="79" t="s">
        <v>1389</v>
      </c>
      <c r="W36" s="79" t="s">
        <v>1389</v>
      </c>
      <c r="X36" s="79" t="s">
        <v>1471</v>
      </c>
      <c r="Y36" s="79" t="s">
        <v>1388</v>
      </c>
      <c r="Z36" s="79" t="s">
        <v>1388</v>
      </c>
      <c r="AA36" s="79" t="s">
        <v>1388</v>
      </c>
      <c r="AB36" s="79" t="s">
        <v>1388</v>
      </c>
      <c r="AC36" s="79" t="s">
        <v>1470</v>
      </c>
      <c r="AD36" s="79" t="s">
        <v>1387</v>
      </c>
      <c r="AE36" s="79" t="s">
        <v>1386</v>
      </c>
      <c r="AF36" s="79" t="s">
        <v>1387</v>
      </c>
      <c r="AG36" s="79" t="s">
        <v>1387</v>
      </c>
      <c r="AH36" s="79" t="s">
        <v>1387</v>
      </c>
      <c r="AI36" s="79" t="s">
        <v>1386</v>
      </c>
      <c r="AJ36" s="79" t="s">
        <v>1466</v>
      </c>
      <c r="AK36" s="92" t="s">
        <v>1411</v>
      </c>
      <c r="AL36" s="79" t="s">
        <v>1417</v>
      </c>
      <c r="AM36" s="79" t="s">
        <v>1418</v>
      </c>
      <c r="AN36" s="79" t="s">
        <v>1461</v>
      </c>
      <c r="AO36" s="79" t="s">
        <v>1460</v>
      </c>
      <c r="AP36" s="79" t="s">
        <v>1460</v>
      </c>
      <c r="AQ36" s="79">
        <v>5</v>
      </c>
      <c r="AR36" s="79" t="s">
        <v>1460</v>
      </c>
      <c r="AS36" s="79" t="s">
        <v>1460</v>
      </c>
      <c r="AT36" s="93" t="s">
        <v>1419</v>
      </c>
    </row>
    <row r="37" spans="1:46" s="91" customFormat="1" ht="33.75" x14ac:dyDescent="0.25">
      <c r="A37" s="79" t="s">
        <v>91</v>
      </c>
      <c r="B37" s="79" t="s">
        <v>1384</v>
      </c>
      <c r="C37" s="79" t="s">
        <v>1389</v>
      </c>
      <c r="D37" s="79" t="s">
        <v>1388</v>
      </c>
      <c r="E37" s="82">
        <v>46023</v>
      </c>
      <c r="F37" s="82">
        <v>46387</v>
      </c>
      <c r="G37" s="82">
        <v>46174</v>
      </c>
      <c r="H37" s="82">
        <v>46203</v>
      </c>
      <c r="I37" s="104">
        <f>IFERROR(NETWORKDAYS($A$1,Table1[[#This Row],[FOB/PLC VALIDITY EXPIRY DATE ]]),"-")</f>
        <v>136</v>
      </c>
      <c r="J37" s="104">
        <f>IFERROR(NETWORKDAYS($A$1,Table1[[#This Row],[OFR VALIDITY EXPIRY DATE ]]),"-")</f>
        <v>4</v>
      </c>
      <c r="K37" s="79" t="s">
        <v>1363</v>
      </c>
      <c r="L37" s="79" t="s">
        <v>1366</v>
      </c>
      <c r="M37" s="79" t="s">
        <v>66</v>
      </c>
      <c r="N37" s="79" t="s">
        <v>92</v>
      </c>
      <c r="O37" s="79" t="s">
        <v>1384</v>
      </c>
      <c r="P37" s="79" t="s">
        <v>1384</v>
      </c>
      <c r="Q37" s="79" t="s">
        <v>1384</v>
      </c>
      <c r="R37" s="79" t="s">
        <v>1384</v>
      </c>
      <c r="S37" s="79" t="s">
        <v>1388</v>
      </c>
      <c r="T37" s="79" t="s">
        <v>1388</v>
      </c>
      <c r="U37" s="79" t="s">
        <v>1388</v>
      </c>
      <c r="V37" s="79" t="s">
        <v>1389</v>
      </c>
      <c r="W37" s="79" t="s">
        <v>1389</v>
      </c>
      <c r="X37" s="79" t="s">
        <v>1389</v>
      </c>
      <c r="Y37" s="79" t="s">
        <v>1388</v>
      </c>
      <c r="Z37" s="79" t="s">
        <v>1388</v>
      </c>
      <c r="AA37" s="79" t="s">
        <v>1388</v>
      </c>
      <c r="AB37" s="79" t="s">
        <v>1388</v>
      </c>
      <c r="AC37" s="79" t="s">
        <v>1470</v>
      </c>
      <c r="AD37" s="79" t="s">
        <v>1387</v>
      </c>
      <c r="AE37" s="79" t="s">
        <v>1386</v>
      </c>
      <c r="AF37" s="79" t="s">
        <v>1387</v>
      </c>
      <c r="AG37" s="79" t="s">
        <v>1387</v>
      </c>
      <c r="AH37" s="79" t="s">
        <v>1387</v>
      </c>
      <c r="AI37" s="79" t="s">
        <v>1387</v>
      </c>
      <c r="AJ37" s="79" t="s">
        <v>1466</v>
      </c>
      <c r="AK37" s="92" t="s">
        <v>1411</v>
      </c>
      <c r="AL37" s="79" t="s">
        <v>1417</v>
      </c>
      <c r="AM37" s="79" t="s">
        <v>1418</v>
      </c>
      <c r="AN37" s="79" t="s">
        <v>1461</v>
      </c>
      <c r="AO37" s="79" t="s">
        <v>1456</v>
      </c>
      <c r="AP37" s="79" t="s">
        <v>1460</v>
      </c>
      <c r="AQ37" s="79" t="s">
        <v>1451</v>
      </c>
      <c r="AR37" s="79" t="s">
        <v>1460</v>
      </c>
      <c r="AS37" s="79" t="s">
        <v>1460</v>
      </c>
      <c r="AT37" s="93" t="s">
        <v>1437</v>
      </c>
    </row>
    <row r="38" spans="1:46" s="91" customFormat="1" ht="33.75" x14ac:dyDescent="0.25">
      <c r="A38" s="79" t="s">
        <v>93</v>
      </c>
      <c r="B38" s="79" t="s">
        <v>1384</v>
      </c>
      <c r="C38" s="79" t="s">
        <v>1390</v>
      </c>
      <c r="D38" s="79" t="s">
        <v>1388</v>
      </c>
      <c r="E38" s="82">
        <v>46023</v>
      </c>
      <c r="F38" s="82">
        <v>46387</v>
      </c>
      <c r="G38" s="82">
        <v>46204</v>
      </c>
      <c r="H38" s="82">
        <v>46295</v>
      </c>
      <c r="I38" s="104">
        <f>IFERROR(NETWORKDAYS($A$1,Table1[[#This Row],[FOB/PLC VALIDITY EXPIRY DATE ]]),"-")</f>
        <v>136</v>
      </c>
      <c r="J38" s="104">
        <f>IFERROR(NETWORKDAYS($A$1,Table1[[#This Row],[OFR VALIDITY EXPIRY DATE ]]),"-")</f>
        <v>70</v>
      </c>
      <c r="K38" s="79" t="s">
        <v>1363</v>
      </c>
      <c r="L38" s="79" t="s">
        <v>1367</v>
      </c>
      <c r="M38" s="79" t="s">
        <v>59</v>
      </c>
      <c r="N38" s="79" t="s">
        <v>1376</v>
      </c>
      <c r="O38" s="79" t="s">
        <v>1384</v>
      </c>
      <c r="P38" s="79" t="s">
        <v>1384</v>
      </c>
      <c r="Q38" s="79" t="s">
        <v>1384</v>
      </c>
      <c r="R38" s="79" t="s">
        <v>1384</v>
      </c>
      <c r="S38" s="79" t="s">
        <v>1388</v>
      </c>
      <c r="T38" s="79" t="s">
        <v>1388</v>
      </c>
      <c r="U38" s="79" t="s">
        <v>1388</v>
      </c>
      <c r="V38" s="79" t="s">
        <v>1390</v>
      </c>
      <c r="W38" s="79" t="s">
        <v>1390</v>
      </c>
      <c r="X38" s="79" t="s">
        <v>1390</v>
      </c>
      <c r="Y38" s="79" t="s">
        <v>1388</v>
      </c>
      <c r="Z38" s="79" t="s">
        <v>1388</v>
      </c>
      <c r="AA38" s="79" t="s">
        <v>1388</v>
      </c>
      <c r="AB38" s="79" t="s">
        <v>1388</v>
      </c>
      <c r="AC38" s="79" t="s">
        <v>1388</v>
      </c>
      <c r="AD38" s="79" t="s">
        <v>1387</v>
      </c>
      <c r="AE38" s="79" t="s">
        <v>1386</v>
      </c>
      <c r="AF38" s="79" t="s">
        <v>1387</v>
      </c>
      <c r="AG38" s="79" t="s">
        <v>1387</v>
      </c>
      <c r="AH38" s="79" t="s">
        <v>1387</v>
      </c>
      <c r="AI38" s="79" t="s">
        <v>1387</v>
      </c>
      <c r="AJ38" s="79" t="s">
        <v>1466</v>
      </c>
      <c r="AK38" s="92" t="s">
        <v>1415</v>
      </c>
      <c r="AL38" s="79" t="s">
        <v>1417</v>
      </c>
      <c r="AM38" s="79" t="s">
        <v>1463</v>
      </c>
      <c r="AN38" s="79" t="s">
        <v>1462</v>
      </c>
      <c r="AO38" s="79" t="s">
        <v>1453</v>
      </c>
      <c r="AP38" s="79" t="s">
        <v>1453</v>
      </c>
      <c r="AQ38" s="79">
        <v>3</v>
      </c>
      <c r="AR38" s="79" t="s">
        <v>1460</v>
      </c>
      <c r="AS38" s="79" t="s">
        <v>1460</v>
      </c>
      <c r="AT38" s="93" t="s">
        <v>27</v>
      </c>
    </row>
    <row r="39" spans="1:46" s="91" customFormat="1" ht="33.75" x14ac:dyDescent="0.25">
      <c r="A39" s="79" t="s">
        <v>94</v>
      </c>
      <c r="B39" s="79" t="s">
        <v>1388</v>
      </c>
      <c r="C39" s="79" t="s">
        <v>1388</v>
      </c>
      <c r="D39" s="79" t="s">
        <v>1388</v>
      </c>
      <c r="E39" s="82">
        <v>46189</v>
      </c>
      <c r="F39" s="82">
        <v>46203</v>
      </c>
      <c r="G39" s="82">
        <v>46189</v>
      </c>
      <c r="H39" s="82">
        <v>46203</v>
      </c>
      <c r="I39" s="104">
        <f>IFERROR(NETWORKDAYS($A$1,Table1[[#This Row],[FOB/PLC VALIDITY EXPIRY DATE ]]),"-")</f>
        <v>4</v>
      </c>
      <c r="J39" s="104">
        <f>IFERROR(NETWORKDAYS($A$1,Table1[[#This Row],[OFR VALIDITY EXPIRY DATE ]]),"-")</f>
        <v>4</v>
      </c>
      <c r="K39" s="79" t="s">
        <v>1363</v>
      </c>
      <c r="L39" s="79" t="s">
        <v>1366</v>
      </c>
      <c r="M39" s="79" t="s">
        <v>59</v>
      </c>
      <c r="N39" s="79" t="s">
        <v>27</v>
      </c>
      <c r="O39" s="79" t="s">
        <v>1388</v>
      </c>
      <c r="P39" s="79" t="s">
        <v>1388</v>
      </c>
      <c r="Q39" s="79" t="s">
        <v>1388</v>
      </c>
      <c r="R39" s="79" t="s">
        <v>1388</v>
      </c>
      <c r="S39" s="79" t="s">
        <v>1388</v>
      </c>
      <c r="T39" s="79" t="s">
        <v>1388</v>
      </c>
      <c r="U39" s="79" t="s">
        <v>1388</v>
      </c>
      <c r="V39" s="79" t="s">
        <v>96</v>
      </c>
      <c r="W39" s="79" t="s">
        <v>96</v>
      </c>
      <c r="X39" s="79" t="s">
        <v>96</v>
      </c>
      <c r="Y39" s="79" t="s">
        <v>1388</v>
      </c>
      <c r="Z39" s="79" t="s">
        <v>1388</v>
      </c>
      <c r="AA39" s="79" t="s">
        <v>1388</v>
      </c>
      <c r="AB39" s="79" t="s">
        <v>1427</v>
      </c>
      <c r="AC39" s="79" t="s">
        <v>1427</v>
      </c>
      <c r="AD39" s="79" t="s">
        <v>1387</v>
      </c>
      <c r="AE39" s="79" t="s">
        <v>1387</v>
      </c>
      <c r="AF39" s="79" t="s">
        <v>1387</v>
      </c>
      <c r="AG39" s="79" t="s">
        <v>1387</v>
      </c>
      <c r="AH39" s="79" t="s">
        <v>1387</v>
      </c>
      <c r="AI39" s="79" t="s">
        <v>1387</v>
      </c>
      <c r="AJ39" s="79" t="s">
        <v>1466</v>
      </c>
      <c r="AK39" s="92">
        <v>4.2361111111111113E-2</v>
      </c>
      <c r="AL39" s="79" t="s">
        <v>1417</v>
      </c>
      <c r="AM39" s="79" t="s">
        <v>1418</v>
      </c>
      <c r="AN39" s="79" t="s">
        <v>1462</v>
      </c>
      <c r="AO39" s="79" t="s">
        <v>1460</v>
      </c>
      <c r="AP39" s="79" t="s">
        <v>1453</v>
      </c>
      <c r="AQ39" s="79">
        <v>1</v>
      </c>
      <c r="AR39" s="79" t="s">
        <v>1453</v>
      </c>
      <c r="AS39" s="79" t="s">
        <v>60</v>
      </c>
      <c r="AT39" s="93" t="s">
        <v>1439</v>
      </c>
    </row>
    <row r="40" spans="1:46" s="91" customFormat="1" ht="33.75" x14ac:dyDescent="0.25">
      <c r="A40" s="79" t="s">
        <v>98</v>
      </c>
      <c r="B40" s="79" t="s">
        <v>1384</v>
      </c>
      <c r="C40" s="79" t="s">
        <v>1389</v>
      </c>
      <c r="D40" s="79" t="s">
        <v>1388</v>
      </c>
      <c r="E40" s="82">
        <v>46174</v>
      </c>
      <c r="F40" s="82">
        <v>46387</v>
      </c>
      <c r="G40" s="82">
        <v>46174</v>
      </c>
      <c r="H40" s="82">
        <v>46203</v>
      </c>
      <c r="I40" s="104">
        <f>IFERROR(NETWORKDAYS($A$1,Table1[[#This Row],[FOB/PLC VALIDITY EXPIRY DATE ]]),"-")</f>
        <v>136</v>
      </c>
      <c r="J40" s="104">
        <f>IFERROR(NETWORKDAYS($A$1,Table1[[#This Row],[OFR VALIDITY EXPIRY DATE ]]),"-")</f>
        <v>4</v>
      </c>
      <c r="K40" s="79" t="s">
        <v>1363</v>
      </c>
      <c r="L40" s="79" t="s">
        <v>1367</v>
      </c>
      <c r="M40" s="79" t="s">
        <v>89</v>
      </c>
      <c r="N40" s="79" t="s">
        <v>1391</v>
      </c>
      <c r="O40" s="79" t="s">
        <v>1384</v>
      </c>
      <c r="P40" s="79" t="s">
        <v>1384</v>
      </c>
      <c r="Q40" s="79" t="s">
        <v>1384</v>
      </c>
      <c r="R40" s="79" t="s">
        <v>1384</v>
      </c>
      <c r="S40" s="79" t="s">
        <v>1388</v>
      </c>
      <c r="T40" s="79" t="s">
        <v>1388</v>
      </c>
      <c r="U40" s="79" t="s">
        <v>1388</v>
      </c>
      <c r="V40" s="79" t="s">
        <v>1389</v>
      </c>
      <c r="W40" s="79" t="s">
        <v>1389</v>
      </c>
      <c r="X40" s="79" t="s">
        <v>1389</v>
      </c>
      <c r="Y40" s="79" t="s">
        <v>1388</v>
      </c>
      <c r="Z40" s="79" t="s">
        <v>1388</v>
      </c>
      <c r="AA40" s="79" t="s">
        <v>1388</v>
      </c>
      <c r="AB40" s="79" t="s">
        <v>1388</v>
      </c>
      <c r="AC40" s="79" t="s">
        <v>1388</v>
      </c>
      <c r="AD40" s="79" t="s">
        <v>1387</v>
      </c>
      <c r="AE40" s="79" t="s">
        <v>1387</v>
      </c>
      <c r="AF40" s="79" t="s">
        <v>1387</v>
      </c>
      <c r="AG40" s="79" t="s">
        <v>1387</v>
      </c>
      <c r="AH40" s="79" t="s">
        <v>1387</v>
      </c>
      <c r="AI40" s="79" t="s">
        <v>1387</v>
      </c>
      <c r="AJ40" s="79" t="s">
        <v>1466</v>
      </c>
      <c r="AK40" s="92">
        <v>4.2361111111111113E-2</v>
      </c>
      <c r="AL40" s="79" t="s">
        <v>1417</v>
      </c>
      <c r="AM40" s="79" t="s">
        <v>1418</v>
      </c>
      <c r="AN40" s="79" t="s">
        <v>1462</v>
      </c>
      <c r="AO40" s="79" t="s">
        <v>1460</v>
      </c>
      <c r="AP40" s="79" t="s">
        <v>1453</v>
      </c>
      <c r="AQ40" s="79">
        <v>3</v>
      </c>
      <c r="AR40" s="79" t="s">
        <v>1460</v>
      </c>
      <c r="AS40" s="79" t="s">
        <v>1460</v>
      </c>
      <c r="AT40" s="93" t="s">
        <v>1440</v>
      </c>
    </row>
    <row r="41" spans="1:46" s="91" customFormat="1" ht="33.75" x14ac:dyDescent="0.25">
      <c r="A41" s="79" t="s">
        <v>99</v>
      </c>
      <c r="B41" s="79" t="s">
        <v>1390</v>
      </c>
      <c r="C41" s="79" t="s">
        <v>1390</v>
      </c>
      <c r="D41" s="79" t="s">
        <v>1388</v>
      </c>
      <c r="E41" s="82">
        <v>46204</v>
      </c>
      <c r="F41" s="82">
        <v>46295</v>
      </c>
      <c r="G41" s="82">
        <v>46204</v>
      </c>
      <c r="H41" s="82">
        <v>46295</v>
      </c>
      <c r="I41" s="104">
        <f>IFERROR(NETWORKDAYS($A$1,Table1[[#This Row],[FOB/PLC VALIDITY EXPIRY DATE ]]),"-")</f>
        <v>70</v>
      </c>
      <c r="J41" s="104">
        <f>IFERROR(NETWORKDAYS($A$1,Table1[[#This Row],[OFR VALIDITY EXPIRY DATE ]]),"-")</f>
        <v>70</v>
      </c>
      <c r="K41" s="79" t="s">
        <v>1363</v>
      </c>
      <c r="L41" s="79" t="s">
        <v>1366</v>
      </c>
      <c r="M41" s="79" t="s">
        <v>66</v>
      </c>
      <c r="N41" s="79" t="s">
        <v>1398</v>
      </c>
      <c r="O41" s="79" t="s">
        <v>1390</v>
      </c>
      <c r="P41" s="79" t="s">
        <v>1390</v>
      </c>
      <c r="Q41" s="79" t="s">
        <v>1390</v>
      </c>
      <c r="R41" s="79" t="s">
        <v>1390</v>
      </c>
      <c r="S41" s="79" t="s">
        <v>1388</v>
      </c>
      <c r="T41" s="79" t="s">
        <v>1388</v>
      </c>
      <c r="U41" s="79" t="s">
        <v>1388</v>
      </c>
      <c r="V41" s="79" t="s">
        <v>1389</v>
      </c>
      <c r="W41" s="79" t="s">
        <v>1389</v>
      </c>
      <c r="X41" s="79" t="s">
        <v>1390</v>
      </c>
      <c r="Y41" s="79" t="s">
        <v>1388</v>
      </c>
      <c r="Z41" s="79" t="s">
        <v>1388</v>
      </c>
      <c r="AA41" s="79" t="s">
        <v>1388</v>
      </c>
      <c r="AB41" s="79" t="s">
        <v>1388</v>
      </c>
      <c r="AC41" s="79" t="s">
        <v>1388</v>
      </c>
      <c r="AD41" s="79" t="s">
        <v>1465</v>
      </c>
      <c r="AE41" s="79" t="s">
        <v>1386</v>
      </c>
      <c r="AF41" s="79" t="s">
        <v>1387</v>
      </c>
      <c r="AG41" s="79" t="s">
        <v>1387</v>
      </c>
      <c r="AH41" s="79" t="s">
        <v>1387</v>
      </c>
      <c r="AI41" s="79" t="s">
        <v>1386</v>
      </c>
      <c r="AJ41" s="79" t="s">
        <v>1467</v>
      </c>
      <c r="AK41" s="92">
        <v>4.2361111111111113E-2</v>
      </c>
      <c r="AL41" s="79" t="s">
        <v>1417</v>
      </c>
      <c r="AM41" s="79" t="s">
        <v>1418</v>
      </c>
      <c r="AN41" s="79" t="s">
        <v>1461</v>
      </c>
      <c r="AO41" s="79" t="s">
        <v>1453</v>
      </c>
      <c r="AP41" s="79" t="s">
        <v>1460</v>
      </c>
      <c r="AQ41" s="79">
        <v>3</v>
      </c>
      <c r="AR41" s="79" t="s">
        <v>1460</v>
      </c>
      <c r="AS41" s="79" t="s">
        <v>1460</v>
      </c>
      <c r="AT41" s="93" t="s">
        <v>27</v>
      </c>
    </row>
    <row r="42" spans="1:46" s="91" customFormat="1" ht="33.75" x14ac:dyDescent="0.25">
      <c r="A42" s="79" t="s">
        <v>101</v>
      </c>
      <c r="B42" s="79" t="s">
        <v>1384</v>
      </c>
      <c r="C42" s="79" t="s">
        <v>1389</v>
      </c>
      <c r="D42" s="79" t="s">
        <v>1388</v>
      </c>
      <c r="E42" s="82">
        <v>46023</v>
      </c>
      <c r="F42" s="82">
        <v>46387</v>
      </c>
      <c r="G42" s="82">
        <v>46174</v>
      </c>
      <c r="H42" s="82">
        <v>46203</v>
      </c>
      <c r="I42" s="104">
        <f>IFERROR(NETWORKDAYS($A$1,Table1[[#This Row],[FOB/PLC VALIDITY EXPIRY DATE ]]),"-")</f>
        <v>136</v>
      </c>
      <c r="J42" s="104">
        <f>IFERROR(NETWORKDAYS($A$1,Table1[[#This Row],[OFR VALIDITY EXPIRY DATE ]]),"-")</f>
        <v>4</v>
      </c>
      <c r="K42" s="79" t="s">
        <v>1363</v>
      </c>
      <c r="L42" s="79" t="s">
        <v>1367</v>
      </c>
      <c r="M42" s="79" t="s">
        <v>49</v>
      </c>
      <c r="N42" s="79" t="s">
        <v>1391</v>
      </c>
      <c r="O42" s="79" t="s">
        <v>1384</v>
      </c>
      <c r="P42" s="79" t="s">
        <v>1384</v>
      </c>
      <c r="Q42" s="79" t="s">
        <v>1384</v>
      </c>
      <c r="R42" s="79" t="s">
        <v>1384</v>
      </c>
      <c r="S42" s="79" t="s">
        <v>1388</v>
      </c>
      <c r="T42" s="79" t="s">
        <v>1388</v>
      </c>
      <c r="U42" s="79" t="s">
        <v>1388</v>
      </c>
      <c r="V42" s="94" t="s">
        <v>1389</v>
      </c>
      <c r="W42" s="94" t="s">
        <v>1389</v>
      </c>
      <c r="X42" s="94" t="s">
        <v>1389</v>
      </c>
      <c r="Y42" s="79" t="s">
        <v>1388</v>
      </c>
      <c r="Z42" s="79" t="s">
        <v>1388</v>
      </c>
      <c r="AA42" s="79" t="s">
        <v>1388</v>
      </c>
      <c r="AB42" s="79" t="s">
        <v>1388</v>
      </c>
      <c r="AC42" s="79" t="s">
        <v>1388</v>
      </c>
      <c r="AD42" s="79" t="s">
        <v>1387</v>
      </c>
      <c r="AE42" s="79" t="s">
        <v>1387</v>
      </c>
      <c r="AF42" s="79" t="s">
        <v>1387</v>
      </c>
      <c r="AG42" s="79" t="s">
        <v>1387</v>
      </c>
      <c r="AH42" s="79" t="s">
        <v>1387</v>
      </c>
      <c r="AI42" s="79" t="s">
        <v>1387</v>
      </c>
      <c r="AJ42" s="79" t="s">
        <v>1466</v>
      </c>
      <c r="AK42" s="92" t="s">
        <v>1412</v>
      </c>
      <c r="AL42" s="79" t="s">
        <v>1417</v>
      </c>
      <c r="AM42" s="79" t="s">
        <v>1418</v>
      </c>
      <c r="AN42" s="79" t="s">
        <v>1462</v>
      </c>
      <c r="AO42" s="79" t="s">
        <v>1460</v>
      </c>
      <c r="AP42" s="79" t="s">
        <v>1453</v>
      </c>
      <c r="AQ42" s="79">
        <v>3</v>
      </c>
      <c r="AR42" s="79" t="s">
        <v>1460</v>
      </c>
      <c r="AS42" s="79" t="s">
        <v>1460</v>
      </c>
      <c r="AT42" s="93" t="s">
        <v>27</v>
      </c>
    </row>
    <row r="43" spans="1:46" s="91" customFormat="1" ht="33.75" x14ac:dyDescent="0.25">
      <c r="A43" s="79" t="s">
        <v>102</v>
      </c>
      <c r="B43" s="79" t="s">
        <v>1384</v>
      </c>
      <c r="C43" s="79" t="s">
        <v>1389</v>
      </c>
      <c r="D43" s="79" t="s">
        <v>1388</v>
      </c>
      <c r="E43" s="82">
        <v>45748</v>
      </c>
      <c r="F43" s="82">
        <v>46477</v>
      </c>
      <c r="G43" s="82">
        <v>46174</v>
      </c>
      <c r="H43" s="82">
        <v>46203</v>
      </c>
      <c r="I43" s="104">
        <f>IFERROR(NETWORKDAYS($A$1,Table1[[#This Row],[FOB/PLC VALIDITY EXPIRY DATE ]]),"-")</f>
        <v>200</v>
      </c>
      <c r="J43" s="104">
        <f>IFERROR(NETWORKDAYS($A$1,Table1[[#This Row],[OFR VALIDITY EXPIRY DATE ]]),"-")</f>
        <v>4</v>
      </c>
      <c r="K43" s="79" t="s">
        <v>1363</v>
      </c>
      <c r="L43" s="79" t="s">
        <v>1366</v>
      </c>
      <c r="M43" s="79" t="s">
        <v>59</v>
      </c>
      <c r="N43" s="79" t="s">
        <v>1376</v>
      </c>
      <c r="O43" s="79" t="s">
        <v>1384</v>
      </c>
      <c r="P43" s="79" t="s">
        <v>1384</v>
      </c>
      <c r="Q43" s="79" t="s">
        <v>1384</v>
      </c>
      <c r="R43" s="79" t="s">
        <v>1384</v>
      </c>
      <c r="S43" s="79" t="s">
        <v>1388</v>
      </c>
      <c r="T43" s="79" t="s">
        <v>1388</v>
      </c>
      <c r="U43" s="79" t="s">
        <v>1388</v>
      </c>
      <c r="V43" s="79" t="s">
        <v>1389</v>
      </c>
      <c r="W43" s="79" t="s">
        <v>1389</v>
      </c>
      <c r="X43" s="79" t="s">
        <v>1390</v>
      </c>
      <c r="Y43" s="79" t="s">
        <v>1388</v>
      </c>
      <c r="Z43" s="79" t="s">
        <v>1388</v>
      </c>
      <c r="AA43" s="79" t="s">
        <v>1388</v>
      </c>
      <c r="AB43" s="79" t="s">
        <v>1388</v>
      </c>
      <c r="AC43" s="79" t="s">
        <v>1470</v>
      </c>
      <c r="AD43" s="79" t="s">
        <v>1387</v>
      </c>
      <c r="AE43" s="79" t="s">
        <v>1386</v>
      </c>
      <c r="AF43" s="79" t="s">
        <v>1387</v>
      </c>
      <c r="AG43" s="79" t="s">
        <v>1387</v>
      </c>
      <c r="AH43" s="79" t="s">
        <v>1387</v>
      </c>
      <c r="AI43" s="79" t="s">
        <v>1387</v>
      </c>
      <c r="AJ43" s="79" t="s">
        <v>1466</v>
      </c>
      <c r="AK43" s="92" t="s">
        <v>1291</v>
      </c>
      <c r="AL43" s="79" t="s">
        <v>1417</v>
      </c>
      <c r="AM43" s="79" t="s">
        <v>1418</v>
      </c>
      <c r="AN43" s="79" t="s">
        <v>1462</v>
      </c>
      <c r="AO43" s="79" t="s">
        <v>1453</v>
      </c>
      <c r="AP43" s="79" t="s">
        <v>1460</v>
      </c>
      <c r="AQ43" s="79">
        <v>5</v>
      </c>
      <c r="AR43" s="79" t="s">
        <v>1460</v>
      </c>
      <c r="AS43" s="79" t="s">
        <v>1460</v>
      </c>
      <c r="AT43" s="93" t="s">
        <v>1441</v>
      </c>
    </row>
    <row r="44" spans="1:46" s="91" customFormat="1" ht="33.75" x14ac:dyDescent="0.25">
      <c r="A44" s="79" t="s">
        <v>103</v>
      </c>
      <c r="B44" s="79" t="s">
        <v>1384</v>
      </c>
      <c r="C44" s="79" t="s">
        <v>1389</v>
      </c>
      <c r="D44" s="79" t="s">
        <v>1388</v>
      </c>
      <c r="E44" s="82">
        <v>46023</v>
      </c>
      <c r="F44" s="82">
        <v>46387</v>
      </c>
      <c r="G44" s="82">
        <v>46174</v>
      </c>
      <c r="H44" s="82">
        <v>46203</v>
      </c>
      <c r="I44" s="104">
        <f>IFERROR(NETWORKDAYS($A$1,Table1[[#This Row],[FOB/PLC VALIDITY EXPIRY DATE ]]),"-")</f>
        <v>136</v>
      </c>
      <c r="J44" s="104">
        <f>IFERROR(NETWORKDAYS($A$1,Table1[[#This Row],[OFR VALIDITY EXPIRY DATE ]]),"-")</f>
        <v>4</v>
      </c>
      <c r="K44" s="79" t="s">
        <v>1363</v>
      </c>
      <c r="L44" s="79" t="s">
        <v>1367</v>
      </c>
      <c r="M44" s="79" t="s">
        <v>43</v>
      </c>
      <c r="N44" s="79" t="s">
        <v>1391</v>
      </c>
      <c r="O44" s="79" t="s">
        <v>1384</v>
      </c>
      <c r="P44" s="79" t="s">
        <v>1384</v>
      </c>
      <c r="Q44" s="79" t="s">
        <v>1384</v>
      </c>
      <c r="R44" s="79" t="s">
        <v>1384</v>
      </c>
      <c r="S44" s="79" t="s">
        <v>1388</v>
      </c>
      <c r="T44" s="79" t="s">
        <v>1388</v>
      </c>
      <c r="U44" s="79" t="s">
        <v>1388</v>
      </c>
      <c r="V44" s="94" t="s">
        <v>1389</v>
      </c>
      <c r="W44" s="94" t="s">
        <v>1389</v>
      </c>
      <c r="X44" s="94" t="s">
        <v>1389</v>
      </c>
      <c r="Y44" s="79" t="s">
        <v>1388</v>
      </c>
      <c r="Z44" s="79" t="s">
        <v>1388</v>
      </c>
      <c r="AA44" s="79" t="s">
        <v>1388</v>
      </c>
      <c r="AB44" s="79" t="s">
        <v>1388</v>
      </c>
      <c r="AC44" s="79" t="s">
        <v>1388</v>
      </c>
      <c r="AD44" s="79" t="s">
        <v>1387</v>
      </c>
      <c r="AE44" s="79" t="s">
        <v>1387</v>
      </c>
      <c r="AF44" s="79" t="s">
        <v>1387</v>
      </c>
      <c r="AG44" s="79" t="s">
        <v>1387</v>
      </c>
      <c r="AH44" s="79" t="s">
        <v>1387</v>
      </c>
      <c r="AI44" s="79" t="s">
        <v>1387</v>
      </c>
      <c r="AJ44" s="79" t="s">
        <v>1466</v>
      </c>
      <c r="AK44" s="92" t="s">
        <v>1291</v>
      </c>
      <c r="AL44" s="79" t="s">
        <v>1417</v>
      </c>
      <c r="AM44" s="79" t="s">
        <v>1418</v>
      </c>
      <c r="AN44" s="79" t="s">
        <v>1462</v>
      </c>
      <c r="AO44" s="79" t="s">
        <v>1460</v>
      </c>
      <c r="AP44" s="79" t="s">
        <v>1460</v>
      </c>
      <c r="AQ44" s="79">
        <v>3</v>
      </c>
      <c r="AR44" s="79" t="s">
        <v>1460</v>
      </c>
      <c r="AS44" s="79" t="s">
        <v>1460</v>
      </c>
      <c r="AT44" s="93" t="s">
        <v>1442</v>
      </c>
    </row>
    <row r="45" spans="1:46" s="91" customFormat="1" ht="33.75" x14ac:dyDescent="0.25">
      <c r="A45" s="79" t="s">
        <v>104</v>
      </c>
      <c r="B45" s="79" t="s">
        <v>1384</v>
      </c>
      <c r="C45" s="79" t="s">
        <v>1389</v>
      </c>
      <c r="D45" s="79" t="s">
        <v>1388</v>
      </c>
      <c r="E45" s="82">
        <v>46023</v>
      </c>
      <c r="F45" s="82">
        <v>46387</v>
      </c>
      <c r="G45" s="82">
        <v>46174</v>
      </c>
      <c r="H45" s="82">
        <v>46203</v>
      </c>
      <c r="I45" s="104">
        <f>IFERROR(NETWORKDAYS($A$1,Table1[[#This Row],[FOB/PLC VALIDITY EXPIRY DATE ]]),"-")</f>
        <v>136</v>
      </c>
      <c r="J45" s="104">
        <f>IFERROR(NETWORKDAYS($A$1,Table1[[#This Row],[OFR VALIDITY EXPIRY DATE ]]),"-")</f>
        <v>4</v>
      </c>
      <c r="K45" s="79" t="s">
        <v>1363</v>
      </c>
      <c r="L45" s="79" t="s">
        <v>1366</v>
      </c>
      <c r="M45" s="79" t="s">
        <v>1402</v>
      </c>
      <c r="N45" s="79" t="s">
        <v>1393</v>
      </c>
      <c r="O45" s="79" t="s">
        <v>1384</v>
      </c>
      <c r="P45" s="79" t="s">
        <v>1384</v>
      </c>
      <c r="Q45" s="79" t="s">
        <v>1384</v>
      </c>
      <c r="R45" s="79" t="s">
        <v>1384</v>
      </c>
      <c r="S45" s="79" t="s">
        <v>1388</v>
      </c>
      <c r="T45" s="79" t="s">
        <v>1388</v>
      </c>
      <c r="U45" s="79" t="s">
        <v>1388</v>
      </c>
      <c r="V45" s="79" t="s">
        <v>1389</v>
      </c>
      <c r="W45" s="79" t="s">
        <v>1389</v>
      </c>
      <c r="X45" s="79" t="s">
        <v>1390</v>
      </c>
      <c r="Y45" s="79" t="s">
        <v>1388</v>
      </c>
      <c r="Z45" s="79" t="s">
        <v>1388</v>
      </c>
      <c r="AA45" s="79" t="s">
        <v>1388</v>
      </c>
      <c r="AB45" s="79" t="s">
        <v>1388</v>
      </c>
      <c r="AC45" s="79" t="s">
        <v>1470</v>
      </c>
      <c r="AD45" s="79" t="s">
        <v>1387</v>
      </c>
      <c r="AE45" s="79" t="s">
        <v>1387</v>
      </c>
      <c r="AF45" s="79" t="s">
        <v>1387</v>
      </c>
      <c r="AG45" s="79" t="s">
        <v>1387</v>
      </c>
      <c r="AH45" s="79" t="s">
        <v>1387</v>
      </c>
      <c r="AI45" s="79" t="s">
        <v>1387</v>
      </c>
      <c r="AJ45" s="79" t="s">
        <v>1466</v>
      </c>
      <c r="AK45" s="92" t="s">
        <v>1411</v>
      </c>
      <c r="AL45" s="79" t="s">
        <v>1417</v>
      </c>
      <c r="AM45" s="79" t="s">
        <v>1418</v>
      </c>
      <c r="AN45" s="79" t="s">
        <v>1462</v>
      </c>
      <c r="AO45" s="79" t="s">
        <v>1460</v>
      </c>
      <c r="AP45" s="79" t="s">
        <v>1453</v>
      </c>
      <c r="AQ45" s="79">
        <v>3</v>
      </c>
      <c r="AR45" s="79" t="s">
        <v>1460</v>
      </c>
      <c r="AS45" s="79" t="s">
        <v>1460</v>
      </c>
      <c r="AT45" s="93" t="s">
        <v>27</v>
      </c>
    </row>
    <row r="46" spans="1:46" s="91" customFormat="1" ht="33.75" x14ac:dyDescent="0.25">
      <c r="A46" s="79" t="s">
        <v>105</v>
      </c>
      <c r="B46" s="79" t="s">
        <v>1384</v>
      </c>
      <c r="C46" s="79" t="s">
        <v>1388</v>
      </c>
      <c r="D46" s="79" t="s">
        <v>1388</v>
      </c>
      <c r="E46" s="82">
        <v>46023</v>
      </c>
      <c r="F46" s="82">
        <v>46387</v>
      </c>
      <c r="G46" s="82">
        <v>46189</v>
      </c>
      <c r="H46" s="82">
        <v>46203</v>
      </c>
      <c r="I46" s="104">
        <f>IFERROR(NETWORKDAYS($A$1,Table1[[#This Row],[FOB/PLC VALIDITY EXPIRY DATE ]]),"-")</f>
        <v>136</v>
      </c>
      <c r="J46" s="104">
        <f>IFERROR(NETWORKDAYS($A$1,Table1[[#This Row],[OFR VALIDITY EXPIRY DATE ]]),"-")</f>
        <v>4</v>
      </c>
      <c r="K46" s="79" t="s">
        <v>1363</v>
      </c>
      <c r="L46" s="79" t="s">
        <v>1367</v>
      </c>
      <c r="M46" s="79" t="s">
        <v>89</v>
      </c>
      <c r="N46" s="79" t="s">
        <v>1391</v>
      </c>
      <c r="O46" s="79" t="s">
        <v>1384</v>
      </c>
      <c r="P46" s="79" t="s">
        <v>1384</v>
      </c>
      <c r="Q46" s="79" t="s">
        <v>1384</v>
      </c>
      <c r="R46" s="79" t="s">
        <v>1384</v>
      </c>
      <c r="S46" s="79" t="s">
        <v>1388</v>
      </c>
      <c r="T46" s="79" t="s">
        <v>1388</v>
      </c>
      <c r="U46" s="79" t="s">
        <v>1388</v>
      </c>
      <c r="V46" s="79" t="s">
        <v>1388</v>
      </c>
      <c r="W46" s="79" t="s">
        <v>1388</v>
      </c>
      <c r="X46" s="79" t="s">
        <v>1388</v>
      </c>
      <c r="Y46" s="79" t="s">
        <v>1388</v>
      </c>
      <c r="Z46" s="79" t="s">
        <v>1388</v>
      </c>
      <c r="AA46" s="79" t="s">
        <v>1388</v>
      </c>
      <c r="AB46" s="79" t="s">
        <v>1388</v>
      </c>
      <c r="AC46" s="79" t="s">
        <v>1388</v>
      </c>
      <c r="AD46" s="79" t="s">
        <v>1387</v>
      </c>
      <c r="AE46" s="79" t="s">
        <v>1387</v>
      </c>
      <c r="AF46" s="79" t="s">
        <v>1387</v>
      </c>
      <c r="AG46" s="79" t="s">
        <v>1387</v>
      </c>
      <c r="AH46" s="79" t="s">
        <v>1387</v>
      </c>
      <c r="AI46" s="79" t="s">
        <v>1387</v>
      </c>
      <c r="AJ46" s="79" t="s">
        <v>1466</v>
      </c>
      <c r="AK46" s="92" t="s">
        <v>1291</v>
      </c>
      <c r="AL46" s="79" t="s">
        <v>1417</v>
      </c>
      <c r="AM46" s="79" t="s">
        <v>1463</v>
      </c>
      <c r="AN46" s="79" t="s">
        <v>1461</v>
      </c>
      <c r="AO46" s="79" t="s">
        <v>1453</v>
      </c>
      <c r="AP46" s="79" t="s">
        <v>1453</v>
      </c>
      <c r="AQ46" s="79">
        <v>3</v>
      </c>
      <c r="AR46" s="79" t="s">
        <v>1460</v>
      </c>
      <c r="AS46" s="79" t="s">
        <v>1460</v>
      </c>
      <c r="AT46" s="93" t="s">
        <v>27</v>
      </c>
    </row>
    <row r="47" spans="1:46" s="91" customFormat="1" ht="33.75" x14ac:dyDescent="0.25">
      <c r="A47" s="79" t="s">
        <v>106</v>
      </c>
      <c r="B47" s="79" t="s">
        <v>1384</v>
      </c>
      <c r="C47" s="79" t="s">
        <v>1389</v>
      </c>
      <c r="D47" s="79" t="s">
        <v>1388</v>
      </c>
      <c r="E47" s="82">
        <v>46023</v>
      </c>
      <c r="F47" s="82">
        <v>46387</v>
      </c>
      <c r="G47" s="82">
        <v>46174</v>
      </c>
      <c r="H47" s="82">
        <v>46203</v>
      </c>
      <c r="I47" s="104">
        <f>IFERROR(NETWORKDAYS($A$1,Table1[[#This Row],[FOB/PLC VALIDITY EXPIRY DATE ]]),"-")</f>
        <v>136</v>
      </c>
      <c r="J47" s="104">
        <f>IFERROR(NETWORKDAYS($A$1,Table1[[#This Row],[OFR VALIDITY EXPIRY DATE ]]),"-")</f>
        <v>4</v>
      </c>
      <c r="K47" s="79" t="s">
        <v>1363</v>
      </c>
      <c r="L47" s="79" t="s">
        <v>1366</v>
      </c>
      <c r="M47" s="79" t="s">
        <v>1406</v>
      </c>
      <c r="N47" s="79" t="s">
        <v>1407</v>
      </c>
      <c r="O47" s="79" t="s">
        <v>1384</v>
      </c>
      <c r="P47" s="79" t="s">
        <v>1384</v>
      </c>
      <c r="Q47" s="79" t="s">
        <v>1384</v>
      </c>
      <c r="R47" s="79" t="s">
        <v>1384</v>
      </c>
      <c r="S47" s="79" t="s">
        <v>1388</v>
      </c>
      <c r="T47" s="79" t="s">
        <v>1388</v>
      </c>
      <c r="U47" s="79" t="s">
        <v>1388</v>
      </c>
      <c r="V47" s="79" t="s">
        <v>1389</v>
      </c>
      <c r="W47" s="79" t="s">
        <v>1389</v>
      </c>
      <c r="X47" s="79" t="s">
        <v>1389</v>
      </c>
      <c r="Y47" s="79" t="s">
        <v>1388</v>
      </c>
      <c r="Z47" s="79" t="s">
        <v>1388</v>
      </c>
      <c r="AA47" s="79" t="s">
        <v>1388</v>
      </c>
      <c r="AB47" s="79" t="s">
        <v>1388</v>
      </c>
      <c r="AC47" s="79" t="s">
        <v>1388</v>
      </c>
      <c r="AD47" s="79" t="s">
        <v>1385</v>
      </c>
      <c r="AE47" s="79" t="s">
        <v>1387</v>
      </c>
      <c r="AF47" s="79" t="s">
        <v>1387</v>
      </c>
      <c r="AG47" s="79" t="s">
        <v>1387</v>
      </c>
      <c r="AH47" s="79" t="s">
        <v>1387</v>
      </c>
      <c r="AI47" s="79" t="s">
        <v>1386</v>
      </c>
      <c r="AJ47" s="79" t="s">
        <v>1468</v>
      </c>
      <c r="AK47" s="92" t="s">
        <v>1411</v>
      </c>
      <c r="AL47" s="79" t="s">
        <v>1417</v>
      </c>
      <c r="AM47" s="79" t="s">
        <v>1463</v>
      </c>
      <c r="AN47" s="79" t="s">
        <v>1461</v>
      </c>
      <c r="AO47" s="79" t="s">
        <v>1460</v>
      </c>
      <c r="AP47" s="79" t="s">
        <v>1454</v>
      </c>
      <c r="AQ47" s="79">
        <v>2</v>
      </c>
      <c r="AR47" s="79" t="s">
        <v>1460</v>
      </c>
      <c r="AS47" s="79" t="s">
        <v>1460</v>
      </c>
      <c r="AT47" s="93" t="s">
        <v>1443</v>
      </c>
    </row>
    <row r="48" spans="1:46" s="91" customFormat="1" ht="33.75" x14ac:dyDescent="0.25">
      <c r="A48" s="79" t="s">
        <v>107</v>
      </c>
      <c r="B48" s="79" t="s">
        <v>1410</v>
      </c>
      <c r="C48" s="79" t="s">
        <v>1389</v>
      </c>
      <c r="D48" s="79" t="s">
        <v>1388</v>
      </c>
      <c r="E48" s="82">
        <v>46113</v>
      </c>
      <c r="F48" s="82">
        <v>46387</v>
      </c>
      <c r="G48" s="82">
        <v>46174</v>
      </c>
      <c r="H48" s="82">
        <v>46203</v>
      </c>
      <c r="I48" s="104">
        <f>IFERROR(NETWORKDAYS($A$1,Table1[[#This Row],[FOB/PLC VALIDITY EXPIRY DATE ]]),"-")</f>
        <v>136</v>
      </c>
      <c r="J48" s="104">
        <f>IFERROR(NETWORKDAYS($A$1,Table1[[#This Row],[OFR VALIDITY EXPIRY DATE ]]),"-")</f>
        <v>4</v>
      </c>
      <c r="K48" s="79" t="s">
        <v>1363</v>
      </c>
      <c r="L48" s="79" t="s">
        <v>1367</v>
      </c>
      <c r="M48" s="79" t="s">
        <v>59</v>
      </c>
      <c r="N48" s="79" t="s">
        <v>1376</v>
      </c>
      <c r="O48" s="79" t="s">
        <v>1410</v>
      </c>
      <c r="P48" s="79" t="s">
        <v>1410</v>
      </c>
      <c r="Q48" s="79" t="s">
        <v>1410</v>
      </c>
      <c r="R48" s="79" t="s">
        <v>1410</v>
      </c>
      <c r="S48" s="79" t="s">
        <v>1388</v>
      </c>
      <c r="T48" s="79" t="s">
        <v>1388</v>
      </c>
      <c r="U48" s="79" t="s">
        <v>1388</v>
      </c>
      <c r="V48" s="94" t="s">
        <v>1389</v>
      </c>
      <c r="W48" s="94" t="s">
        <v>1389</v>
      </c>
      <c r="X48" s="94" t="s">
        <v>1389</v>
      </c>
      <c r="Y48" s="79" t="s">
        <v>1388</v>
      </c>
      <c r="Z48" s="79" t="s">
        <v>1388</v>
      </c>
      <c r="AA48" s="79" t="s">
        <v>1388</v>
      </c>
      <c r="AB48" s="79" t="s">
        <v>1388</v>
      </c>
      <c r="AC48" s="79" t="s">
        <v>1388</v>
      </c>
      <c r="AD48" s="79" t="s">
        <v>1385</v>
      </c>
      <c r="AE48" s="79" t="s">
        <v>1386</v>
      </c>
      <c r="AF48" s="79" t="s">
        <v>1387</v>
      </c>
      <c r="AG48" s="79" t="s">
        <v>1387</v>
      </c>
      <c r="AH48" s="79" t="s">
        <v>1387</v>
      </c>
      <c r="AI48" s="79" t="s">
        <v>1387</v>
      </c>
      <c r="AJ48" s="79" t="s">
        <v>1468</v>
      </c>
      <c r="AK48" s="92">
        <v>4.2361111111111113E-2</v>
      </c>
      <c r="AL48" s="79" t="s">
        <v>1417</v>
      </c>
      <c r="AM48" s="79" t="s">
        <v>1418</v>
      </c>
      <c r="AN48" s="79" t="s">
        <v>1461</v>
      </c>
      <c r="AO48" s="79" t="s">
        <v>1460</v>
      </c>
      <c r="AP48" s="79" t="s">
        <v>60</v>
      </c>
      <c r="AQ48" s="79">
        <v>3</v>
      </c>
      <c r="AR48" s="79" t="s">
        <v>1460</v>
      </c>
      <c r="AS48" s="79" t="s">
        <v>1460</v>
      </c>
      <c r="AT48" s="93" t="s">
        <v>1444</v>
      </c>
    </row>
    <row r="49" spans="1:46" s="91" customFormat="1" ht="33.75" x14ac:dyDescent="0.25">
      <c r="A49" s="79" t="s">
        <v>109</v>
      </c>
      <c r="B49" s="79" t="s">
        <v>1384</v>
      </c>
      <c r="C49" s="79" t="s">
        <v>1389</v>
      </c>
      <c r="D49" s="79" t="s">
        <v>1388</v>
      </c>
      <c r="E49" s="82">
        <v>46023</v>
      </c>
      <c r="F49" s="82">
        <v>46387</v>
      </c>
      <c r="G49" s="82">
        <v>46174</v>
      </c>
      <c r="H49" s="82">
        <v>46203</v>
      </c>
      <c r="I49" s="104">
        <f>IFERROR(NETWORKDAYS($A$1,Table1[[#This Row],[FOB/PLC VALIDITY EXPIRY DATE ]]),"-")</f>
        <v>136</v>
      </c>
      <c r="J49" s="104">
        <f>IFERROR(NETWORKDAYS($A$1,Table1[[#This Row],[OFR VALIDITY EXPIRY DATE ]]),"-")</f>
        <v>4</v>
      </c>
      <c r="K49" s="79" t="s">
        <v>1363</v>
      </c>
      <c r="L49" s="79" t="s">
        <v>1366</v>
      </c>
      <c r="M49" s="79" t="s">
        <v>59</v>
      </c>
      <c r="N49" s="79" t="s">
        <v>1376</v>
      </c>
      <c r="O49" s="79" t="s">
        <v>1384</v>
      </c>
      <c r="P49" s="79" t="s">
        <v>1384</v>
      </c>
      <c r="Q49" s="79" t="s">
        <v>1384</v>
      </c>
      <c r="R49" s="79" t="s">
        <v>1384</v>
      </c>
      <c r="S49" s="79" t="s">
        <v>1388</v>
      </c>
      <c r="T49" s="79" t="s">
        <v>1388</v>
      </c>
      <c r="U49" s="79" t="s">
        <v>1388</v>
      </c>
      <c r="V49" s="79" t="s">
        <v>1389</v>
      </c>
      <c r="W49" s="79" t="s">
        <v>1389</v>
      </c>
      <c r="X49" s="79" t="s">
        <v>1390</v>
      </c>
      <c r="Y49" s="79" t="s">
        <v>1388</v>
      </c>
      <c r="Z49" s="79" t="s">
        <v>1388</v>
      </c>
      <c r="AA49" s="79" t="s">
        <v>1388</v>
      </c>
      <c r="AB49" s="79" t="s">
        <v>1388</v>
      </c>
      <c r="AC49" s="79" t="s">
        <v>1470</v>
      </c>
      <c r="AD49" s="79" t="s">
        <v>1385</v>
      </c>
      <c r="AE49" s="79" t="s">
        <v>1386</v>
      </c>
      <c r="AF49" s="79" t="s">
        <v>1387</v>
      </c>
      <c r="AG49" s="79" t="s">
        <v>1387</v>
      </c>
      <c r="AH49" s="79" t="s">
        <v>1387</v>
      </c>
      <c r="AI49" s="79" t="s">
        <v>1387</v>
      </c>
      <c r="AJ49" s="79" t="s">
        <v>1468</v>
      </c>
      <c r="AK49" s="92" t="s">
        <v>1291</v>
      </c>
      <c r="AL49" s="79" t="s">
        <v>1417</v>
      </c>
      <c r="AM49" s="79" t="s">
        <v>1418</v>
      </c>
      <c r="AN49" s="79" t="s">
        <v>1462</v>
      </c>
      <c r="AO49" s="79" t="s">
        <v>1456</v>
      </c>
      <c r="AP49" s="79" t="s">
        <v>1460</v>
      </c>
      <c r="AQ49" s="79">
        <v>3</v>
      </c>
      <c r="AR49" s="79" t="s">
        <v>1460</v>
      </c>
      <c r="AS49" s="79" t="s">
        <v>1460</v>
      </c>
      <c r="AT49" s="93" t="s">
        <v>1445</v>
      </c>
    </row>
    <row r="50" spans="1:46" s="91" customFormat="1" ht="33.75" x14ac:dyDescent="0.25">
      <c r="A50" s="79" t="s">
        <v>1294</v>
      </c>
      <c r="B50" s="79" t="s">
        <v>1384</v>
      </c>
      <c r="C50" s="79" t="s">
        <v>1389</v>
      </c>
      <c r="D50" s="79" t="s">
        <v>1388</v>
      </c>
      <c r="E50" s="82">
        <v>46082</v>
      </c>
      <c r="F50" s="82">
        <v>46387</v>
      </c>
      <c r="G50" s="82">
        <v>46174</v>
      </c>
      <c r="H50" s="82">
        <v>46203</v>
      </c>
      <c r="I50" s="104">
        <f>IFERROR(NETWORKDAYS($A$1,Table1[[#This Row],[FOB/PLC VALIDITY EXPIRY DATE ]]),"-")</f>
        <v>136</v>
      </c>
      <c r="J50" s="104">
        <f>IFERROR(NETWORKDAYS($A$1,Table1[[#This Row],[OFR VALIDITY EXPIRY DATE ]]),"-")</f>
        <v>4</v>
      </c>
      <c r="K50" s="79" t="s">
        <v>1363</v>
      </c>
      <c r="L50" s="79" t="s">
        <v>1367</v>
      </c>
      <c r="M50" s="79" t="s">
        <v>871</v>
      </c>
      <c r="N50" s="79" t="s">
        <v>871</v>
      </c>
      <c r="O50" s="79" t="s">
        <v>1384</v>
      </c>
      <c r="P50" s="79" t="s">
        <v>1384</v>
      </c>
      <c r="Q50" s="79" t="s">
        <v>1384</v>
      </c>
      <c r="R50" s="79" t="s">
        <v>1384</v>
      </c>
      <c r="S50" s="79" t="s">
        <v>1388</v>
      </c>
      <c r="T50" s="79" t="s">
        <v>1388</v>
      </c>
      <c r="U50" s="79" t="s">
        <v>1388</v>
      </c>
      <c r="V50" s="94" t="s">
        <v>1389</v>
      </c>
      <c r="W50" s="94" t="s">
        <v>1389</v>
      </c>
      <c r="X50" s="94" t="s">
        <v>1389</v>
      </c>
      <c r="Y50" s="79" t="s">
        <v>1388</v>
      </c>
      <c r="Z50" s="79" t="s">
        <v>1388</v>
      </c>
      <c r="AA50" s="79" t="s">
        <v>1388</v>
      </c>
      <c r="AB50" s="79" t="s">
        <v>1388</v>
      </c>
      <c r="AC50" s="79" t="s">
        <v>1470</v>
      </c>
      <c r="AD50" s="79" t="s">
        <v>1465</v>
      </c>
      <c r="AE50" s="79" t="s">
        <v>1387</v>
      </c>
      <c r="AF50" s="79" t="s">
        <v>1387</v>
      </c>
      <c r="AG50" s="79" t="s">
        <v>1386</v>
      </c>
      <c r="AH50" s="79" t="s">
        <v>1386</v>
      </c>
      <c r="AI50" s="79" t="s">
        <v>1386</v>
      </c>
      <c r="AJ50" s="79" t="s">
        <v>1467</v>
      </c>
      <c r="AK50" s="92" t="s">
        <v>1411</v>
      </c>
      <c r="AL50" s="79" t="s">
        <v>1417</v>
      </c>
      <c r="AM50" s="79" t="s">
        <v>1463</v>
      </c>
      <c r="AN50" s="79" t="s">
        <v>1462</v>
      </c>
      <c r="AO50" s="79" t="s">
        <v>1453</v>
      </c>
      <c r="AP50" s="79" t="s">
        <v>1460</v>
      </c>
      <c r="AQ50" s="79">
        <v>2</v>
      </c>
      <c r="AR50" s="79" t="s">
        <v>1460</v>
      </c>
      <c r="AS50" s="79" t="s">
        <v>1460</v>
      </c>
      <c r="AT50" s="93" t="s">
        <v>1446</v>
      </c>
    </row>
    <row r="51" spans="1:46" s="91" customFormat="1" ht="33.75" x14ac:dyDescent="0.25">
      <c r="A51" s="79" t="s">
        <v>110</v>
      </c>
      <c r="B51" s="79" t="s">
        <v>1409</v>
      </c>
      <c r="C51" s="79" t="s">
        <v>1409</v>
      </c>
      <c r="D51" s="79" t="s">
        <v>1388</v>
      </c>
      <c r="E51" s="82">
        <v>46113</v>
      </c>
      <c r="F51" s="82">
        <v>46295</v>
      </c>
      <c r="G51" s="82">
        <v>46113</v>
      </c>
      <c r="H51" s="82">
        <v>46295</v>
      </c>
      <c r="I51" s="104">
        <f>IFERROR(NETWORKDAYS($A$1,Table1[[#This Row],[FOB/PLC VALIDITY EXPIRY DATE ]]),"-")</f>
        <v>70</v>
      </c>
      <c r="J51" s="104">
        <f>IFERROR(NETWORKDAYS($A$1,Table1[[#This Row],[OFR VALIDITY EXPIRY DATE ]]),"-")</f>
        <v>70</v>
      </c>
      <c r="K51" s="79" t="s">
        <v>1363</v>
      </c>
      <c r="L51" s="79" t="s">
        <v>1366</v>
      </c>
      <c r="M51" s="79" t="s">
        <v>59</v>
      </c>
      <c r="N51" s="79" t="s">
        <v>1376</v>
      </c>
      <c r="O51" s="79" t="s">
        <v>1409</v>
      </c>
      <c r="P51" s="79" t="s">
        <v>1409</v>
      </c>
      <c r="Q51" s="79" t="s">
        <v>1409</v>
      </c>
      <c r="R51" s="79" t="s">
        <v>1409</v>
      </c>
      <c r="S51" s="79" t="s">
        <v>1388</v>
      </c>
      <c r="T51" s="79" t="s">
        <v>1388</v>
      </c>
      <c r="U51" s="79" t="s">
        <v>1388</v>
      </c>
      <c r="V51" s="79" t="s">
        <v>1389</v>
      </c>
      <c r="W51" s="79" t="s">
        <v>1389</v>
      </c>
      <c r="X51" s="79" t="s">
        <v>1438</v>
      </c>
      <c r="Y51" s="79" t="s">
        <v>1388</v>
      </c>
      <c r="Z51" s="79" t="s">
        <v>1388</v>
      </c>
      <c r="AA51" s="79" t="s">
        <v>1388</v>
      </c>
      <c r="AB51" s="79" t="s">
        <v>1388</v>
      </c>
      <c r="AC51" s="79" t="s">
        <v>1388</v>
      </c>
      <c r="AD51" s="79" t="s">
        <v>1387</v>
      </c>
      <c r="AE51" s="79" t="s">
        <v>1387</v>
      </c>
      <c r="AF51" s="79" t="s">
        <v>1387</v>
      </c>
      <c r="AG51" s="79" t="s">
        <v>1387</v>
      </c>
      <c r="AH51" s="79" t="s">
        <v>1387</v>
      </c>
      <c r="AI51" s="79" t="s">
        <v>1387</v>
      </c>
      <c r="AJ51" s="79" t="s">
        <v>1466</v>
      </c>
      <c r="AK51" s="92" t="s">
        <v>1291</v>
      </c>
      <c r="AL51" s="79" t="s">
        <v>1417</v>
      </c>
      <c r="AM51" s="79" t="s">
        <v>1418</v>
      </c>
      <c r="AN51" s="79" t="s">
        <v>1461</v>
      </c>
      <c r="AO51" s="79" t="s">
        <v>1453</v>
      </c>
      <c r="AP51" s="79" t="s">
        <v>1453</v>
      </c>
      <c r="AQ51" s="79">
        <v>5</v>
      </c>
      <c r="AR51" s="79" t="s">
        <v>1460</v>
      </c>
      <c r="AS51" s="79" t="s">
        <v>1460</v>
      </c>
      <c r="AT51" s="93" t="s">
        <v>27</v>
      </c>
    </row>
    <row r="52" spans="1:46" s="91" customFormat="1" ht="33.75" x14ac:dyDescent="0.25">
      <c r="A52" s="79" t="s">
        <v>111</v>
      </c>
      <c r="B52" s="79" t="s">
        <v>1390</v>
      </c>
      <c r="C52" s="79" t="s">
        <v>1390</v>
      </c>
      <c r="D52" s="79" t="s">
        <v>1388</v>
      </c>
      <c r="E52" s="82">
        <v>46204</v>
      </c>
      <c r="F52" s="82">
        <v>46295</v>
      </c>
      <c r="G52" s="82">
        <v>46204</v>
      </c>
      <c r="H52" s="82">
        <v>46295</v>
      </c>
      <c r="I52" s="104">
        <f>IFERROR(NETWORKDAYS($A$1,Table1[[#This Row],[FOB/PLC VALIDITY EXPIRY DATE ]]),"-")</f>
        <v>70</v>
      </c>
      <c r="J52" s="104">
        <f>IFERROR(NETWORKDAYS($A$1,Table1[[#This Row],[OFR VALIDITY EXPIRY DATE ]]),"-")</f>
        <v>70</v>
      </c>
      <c r="K52" s="79" t="s">
        <v>1363</v>
      </c>
      <c r="L52" s="79" t="s">
        <v>1367</v>
      </c>
      <c r="M52" s="79" t="s">
        <v>52</v>
      </c>
      <c r="N52" s="79" t="s">
        <v>1398</v>
      </c>
      <c r="O52" s="79" t="s">
        <v>1390</v>
      </c>
      <c r="P52" s="79" t="s">
        <v>1390</v>
      </c>
      <c r="Q52" s="79" t="s">
        <v>1390</v>
      </c>
      <c r="R52" s="79" t="s">
        <v>1390</v>
      </c>
      <c r="S52" s="79" t="s">
        <v>1388</v>
      </c>
      <c r="T52" s="79" t="s">
        <v>1388</v>
      </c>
      <c r="U52" s="79" t="s">
        <v>1388</v>
      </c>
      <c r="V52" s="94" t="s">
        <v>1389</v>
      </c>
      <c r="W52" s="94" t="s">
        <v>1389</v>
      </c>
      <c r="X52" s="79" t="s">
        <v>1390</v>
      </c>
      <c r="Y52" s="79" t="s">
        <v>1388</v>
      </c>
      <c r="Z52" s="79" t="s">
        <v>1388</v>
      </c>
      <c r="AA52" s="79" t="s">
        <v>1388</v>
      </c>
      <c r="AB52" s="79" t="s">
        <v>1388</v>
      </c>
      <c r="AC52" s="79" t="s">
        <v>1388</v>
      </c>
      <c r="AD52" s="79" t="s">
        <v>1387</v>
      </c>
      <c r="AE52" s="79" t="s">
        <v>1387</v>
      </c>
      <c r="AF52" s="79" t="s">
        <v>1387</v>
      </c>
      <c r="AG52" s="79" t="s">
        <v>1387</v>
      </c>
      <c r="AH52" s="79" t="s">
        <v>1387</v>
      </c>
      <c r="AI52" s="79" t="s">
        <v>1386</v>
      </c>
      <c r="AJ52" s="79" t="s">
        <v>1466</v>
      </c>
      <c r="AK52" s="92" t="s">
        <v>1416</v>
      </c>
      <c r="AL52" s="79" t="s">
        <v>1417</v>
      </c>
      <c r="AM52" s="79" t="s">
        <v>1418</v>
      </c>
      <c r="AN52" s="79" t="s">
        <v>1462</v>
      </c>
      <c r="AO52" s="79" t="s">
        <v>1453</v>
      </c>
      <c r="AP52" s="79" t="s">
        <v>1460</v>
      </c>
      <c r="AQ52" s="79">
        <v>3</v>
      </c>
      <c r="AR52" s="79" t="s">
        <v>1460</v>
      </c>
      <c r="AS52" s="79" t="s">
        <v>1460</v>
      </c>
      <c r="AT52" s="93" t="s">
        <v>1447</v>
      </c>
    </row>
    <row r="53" spans="1:46" s="91" customFormat="1" ht="33.75" x14ac:dyDescent="0.25">
      <c r="A53" s="79" t="s">
        <v>112</v>
      </c>
      <c r="B53" s="79" t="s">
        <v>1390</v>
      </c>
      <c r="C53" s="79" t="s">
        <v>1390</v>
      </c>
      <c r="D53" s="79" t="s">
        <v>1388</v>
      </c>
      <c r="E53" s="82">
        <v>46204</v>
      </c>
      <c r="F53" s="82">
        <v>46295</v>
      </c>
      <c r="G53" s="82">
        <v>46204</v>
      </c>
      <c r="H53" s="82">
        <v>46295</v>
      </c>
      <c r="I53" s="104">
        <f>IFERROR(NETWORKDAYS($A$1,Table1[[#This Row],[FOB/PLC VALIDITY EXPIRY DATE ]]),"-")</f>
        <v>70</v>
      </c>
      <c r="J53" s="104">
        <f>IFERROR(NETWORKDAYS($A$1,Table1[[#This Row],[OFR VALIDITY EXPIRY DATE ]]),"-")</f>
        <v>70</v>
      </c>
      <c r="K53" s="79" t="s">
        <v>1363</v>
      </c>
      <c r="L53" s="79" t="s">
        <v>1366</v>
      </c>
      <c r="M53" s="79" t="s">
        <v>29</v>
      </c>
      <c r="N53" s="79" t="s">
        <v>113</v>
      </c>
      <c r="O53" s="79" t="s">
        <v>1390</v>
      </c>
      <c r="P53" s="79" t="s">
        <v>1390</v>
      </c>
      <c r="Q53" s="79" t="s">
        <v>1390</v>
      </c>
      <c r="R53" s="79" t="s">
        <v>1390</v>
      </c>
      <c r="S53" s="79" t="s">
        <v>1388</v>
      </c>
      <c r="T53" s="79" t="s">
        <v>1388</v>
      </c>
      <c r="U53" s="79" t="s">
        <v>1388</v>
      </c>
      <c r="V53" s="79" t="s">
        <v>1389</v>
      </c>
      <c r="W53" s="79" t="s">
        <v>1389</v>
      </c>
      <c r="X53" s="79" t="s">
        <v>1390</v>
      </c>
      <c r="Y53" s="79" t="s">
        <v>1388</v>
      </c>
      <c r="Z53" s="79" t="s">
        <v>1388</v>
      </c>
      <c r="AA53" s="79" t="s">
        <v>1388</v>
      </c>
      <c r="AB53" s="79" t="s">
        <v>1388</v>
      </c>
      <c r="AC53" s="79" t="s">
        <v>1470</v>
      </c>
      <c r="AD53" s="79" t="s">
        <v>1387</v>
      </c>
      <c r="AE53" s="79" t="s">
        <v>1387</v>
      </c>
      <c r="AF53" s="79" t="s">
        <v>1387</v>
      </c>
      <c r="AG53" s="79" t="s">
        <v>1387</v>
      </c>
      <c r="AH53" s="79" t="s">
        <v>1387</v>
      </c>
      <c r="AI53" s="79" t="s">
        <v>1387</v>
      </c>
      <c r="AJ53" s="79" t="s">
        <v>1466</v>
      </c>
      <c r="AK53" s="92" t="s">
        <v>1411</v>
      </c>
      <c r="AL53" s="79" t="s">
        <v>1417</v>
      </c>
      <c r="AM53" s="79" t="s">
        <v>1418</v>
      </c>
      <c r="AN53" s="79" t="s">
        <v>1461</v>
      </c>
      <c r="AO53" s="79" t="s">
        <v>1460</v>
      </c>
      <c r="AP53" s="79" t="s">
        <v>1460</v>
      </c>
      <c r="AQ53" s="79">
        <v>3</v>
      </c>
      <c r="AR53" s="79" t="s">
        <v>1460</v>
      </c>
      <c r="AS53" s="79" t="s">
        <v>1460</v>
      </c>
      <c r="AT53" s="93" t="s">
        <v>1448</v>
      </c>
    </row>
    <row r="54" spans="1:46" s="91" customFormat="1" ht="33.75" x14ac:dyDescent="0.25">
      <c r="A54" s="94" t="s">
        <v>114</v>
      </c>
      <c r="B54" s="94" t="s">
        <v>1409</v>
      </c>
      <c r="C54" s="94" t="s">
        <v>1409</v>
      </c>
      <c r="D54" s="79" t="s">
        <v>1388</v>
      </c>
      <c r="E54" s="100">
        <v>46113</v>
      </c>
      <c r="F54" s="100">
        <v>46295</v>
      </c>
      <c r="G54" s="100">
        <v>46113</v>
      </c>
      <c r="H54" s="100">
        <v>46295</v>
      </c>
      <c r="I54" s="105">
        <f>IFERROR(NETWORKDAYS($A$1,Table1[[#This Row],[FOB/PLC VALIDITY EXPIRY DATE ]]),"-")</f>
        <v>70</v>
      </c>
      <c r="J54" s="104">
        <f>IFERROR(NETWORKDAYS($A$1,Table1[[#This Row],[OFR VALIDITY EXPIRY DATE ]]),"-")</f>
        <v>70</v>
      </c>
      <c r="K54" s="94" t="s">
        <v>1363</v>
      </c>
      <c r="L54" s="94" t="s">
        <v>1367</v>
      </c>
      <c r="M54" s="94" t="s">
        <v>59</v>
      </c>
      <c r="N54" s="94" t="s">
        <v>1376</v>
      </c>
      <c r="O54" s="94" t="s">
        <v>1474</v>
      </c>
      <c r="P54" s="94" t="s">
        <v>1409</v>
      </c>
      <c r="Q54" s="94" t="s">
        <v>1409</v>
      </c>
      <c r="R54" s="94" t="s">
        <v>1409</v>
      </c>
      <c r="S54" s="79" t="s">
        <v>1388</v>
      </c>
      <c r="T54" s="79" t="s">
        <v>1388</v>
      </c>
      <c r="U54" s="79" t="s">
        <v>1388</v>
      </c>
      <c r="V54" s="94" t="s">
        <v>1389</v>
      </c>
      <c r="W54" s="94" t="s">
        <v>1389</v>
      </c>
      <c r="X54" s="94" t="s">
        <v>1390</v>
      </c>
      <c r="Y54" s="79" t="s">
        <v>1388</v>
      </c>
      <c r="Z54" s="79" t="s">
        <v>1388</v>
      </c>
      <c r="AA54" s="79" t="s">
        <v>1388</v>
      </c>
      <c r="AB54" s="79" t="s">
        <v>1388</v>
      </c>
      <c r="AC54" s="79" t="s">
        <v>1388</v>
      </c>
      <c r="AD54" s="94" t="s">
        <v>1387</v>
      </c>
      <c r="AE54" s="94" t="s">
        <v>1387</v>
      </c>
      <c r="AF54" s="94" t="s">
        <v>1387</v>
      </c>
      <c r="AG54" s="94" t="s">
        <v>1387</v>
      </c>
      <c r="AH54" s="94" t="s">
        <v>1387</v>
      </c>
      <c r="AI54" s="94" t="s">
        <v>1387</v>
      </c>
      <c r="AJ54" s="94" t="s">
        <v>1466</v>
      </c>
      <c r="AK54" s="95" t="s">
        <v>1291</v>
      </c>
      <c r="AL54" s="94" t="s">
        <v>1417</v>
      </c>
      <c r="AM54" s="94" t="s">
        <v>1418</v>
      </c>
      <c r="AN54" s="94" t="s">
        <v>1461</v>
      </c>
      <c r="AO54" s="94" t="s">
        <v>1453</v>
      </c>
      <c r="AP54" s="94" t="s">
        <v>1460</v>
      </c>
      <c r="AQ54" s="94">
        <v>5</v>
      </c>
      <c r="AR54" s="94" t="s">
        <v>1460</v>
      </c>
      <c r="AS54" s="94" t="s">
        <v>1460</v>
      </c>
      <c r="AT54" s="96" t="s">
        <v>27</v>
      </c>
    </row>
  </sheetData>
  <mergeCells count="5">
    <mergeCell ref="B1:H1"/>
    <mergeCell ref="M1:N1"/>
    <mergeCell ref="AD1:AI1"/>
    <mergeCell ref="AJ1:AT1"/>
    <mergeCell ref="O1:AC1"/>
  </mergeCells>
  <conditionalFormatting sqref="I3:J54">
    <cfRule type="cellIs" dxfId="28" priority="1" operator="lessThan">
      <formula>31</formula>
    </cfRule>
  </conditionalFormatting>
  <dataValidations count="2">
    <dataValidation type="list" allowBlank="1" showInputMessage="1" showErrorMessage="1" sqref="K3:K54" xr:uid="{538C8270-6F0C-4EBA-94B3-0940BEF1C44C}">
      <formula1>"OFR &amp; Service Update Request,Additional new lane request,New validity quote request,Requote/review rate request"</formula1>
    </dataValidation>
    <dataValidation type="list" allowBlank="1" showInputMessage="1" showErrorMessage="1" sqref="L3:L54" xr:uid="{DD22F09A-2C3C-4901-8F10-DF125F1D9335}">
      <formula1>"RFQ TOOL - https://rfqtool.wwalliance.com,CENTRIC - https://centric.wwalliance.com"</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AE658-CCEF-4E55-947C-2547F7C3DFBE}">
  <sheetPr>
    <tabColor theme="3" tint="0.749992370372631"/>
  </sheetPr>
  <dimension ref="A1:C2"/>
  <sheetViews>
    <sheetView workbookViewId="0">
      <selection activeCell="B12" sqref="B12"/>
    </sheetView>
  </sheetViews>
  <sheetFormatPr defaultRowHeight="12" x14ac:dyDescent="0.2"/>
  <cols>
    <col min="1" max="1" width="19.28515625" style="88" customWidth="1"/>
    <col min="2" max="2" width="99.7109375" style="88" customWidth="1"/>
    <col min="3" max="16384" width="9.140625" style="88"/>
  </cols>
  <sheetData>
    <row r="1" spans="1:3" x14ac:dyDescent="0.2">
      <c r="A1" s="87" t="s">
        <v>1368</v>
      </c>
      <c r="B1" s="87" t="s">
        <v>1370</v>
      </c>
    </row>
    <row r="2" spans="1:3" ht="15" x14ac:dyDescent="0.25">
      <c r="A2" s="89" t="s">
        <v>407</v>
      </c>
      <c r="B2" s="90" t="s">
        <v>1369</v>
      </c>
      <c r="C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4A0A-EEA0-46B7-94A0-EB4D42586C9E}">
  <sheetPr>
    <tabColor theme="3" tint="0.749992370372631"/>
  </sheetPr>
  <dimension ref="A1:AM67"/>
  <sheetViews>
    <sheetView showGridLines="0" workbookViewId="0">
      <pane ySplit="2" topLeftCell="A3" activePane="bottomLeft" state="frozen"/>
      <selection activeCell="A2" sqref="A2"/>
      <selection pane="bottomLeft" activeCell="A2" sqref="A2"/>
    </sheetView>
  </sheetViews>
  <sheetFormatPr defaultRowHeight="11.25" x14ac:dyDescent="0.2"/>
  <cols>
    <col min="1" max="2" width="9.140625" style="2"/>
    <col min="3" max="5" width="12.28515625" style="5" customWidth="1"/>
    <col min="6" max="6" width="11.7109375" style="2" bestFit="1" customWidth="1"/>
    <col min="7" max="7" width="18.140625" style="2" bestFit="1" customWidth="1"/>
    <col min="8" max="8" width="18" style="2" bestFit="1" customWidth="1"/>
    <col min="9" max="9" width="19" style="2" bestFit="1" customWidth="1"/>
    <col min="10" max="13" width="12.28515625" style="2" hidden="1" customWidth="1"/>
    <col min="14" max="23" width="13.28515625" style="2" hidden="1" customWidth="1"/>
    <col min="24" max="28" width="0" style="2" hidden="1" customWidth="1"/>
    <col min="29" max="30" width="9.140625" style="2"/>
    <col min="31" max="31" width="22.42578125" style="2" bestFit="1" customWidth="1"/>
    <col min="32" max="38" width="9.140625" style="2"/>
    <col min="39" max="39" width="9.140625" style="36"/>
    <col min="40" max="16384" width="9.140625" style="2"/>
  </cols>
  <sheetData>
    <row r="1" spans="1:39" s="3" customFormat="1" x14ac:dyDescent="0.2">
      <c r="B1" s="113"/>
      <c r="C1" s="113"/>
      <c r="D1" s="113"/>
      <c r="E1" s="113"/>
      <c r="F1" s="113" t="s">
        <v>0</v>
      </c>
      <c r="G1" s="113"/>
      <c r="H1" s="113" t="s">
        <v>1</v>
      </c>
      <c r="I1" s="113"/>
      <c r="J1" s="113" t="s">
        <v>144</v>
      </c>
      <c r="K1" s="113"/>
      <c r="L1" s="113"/>
      <c r="M1" s="113"/>
      <c r="N1" s="113" t="s">
        <v>145</v>
      </c>
      <c r="O1" s="113"/>
      <c r="P1" s="113"/>
      <c r="Q1" s="113"/>
      <c r="R1" s="113"/>
      <c r="S1" s="113"/>
      <c r="T1" s="113"/>
      <c r="U1" s="113"/>
      <c r="V1" s="113"/>
      <c r="W1" s="113"/>
      <c r="X1" s="113" t="s">
        <v>146</v>
      </c>
      <c r="Y1" s="113"/>
      <c r="Z1" s="113"/>
      <c r="AA1" s="113"/>
      <c r="AB1" s="113"/>
      <c r="AC1" s="113" t="s">
        <v>117</v>
      </c>
      <c r="AD1" s="113"/>
      <c r="AE1" s="113"/>
      <c r="AF1" s="113"/>
      <c r="AG1" s="113"/>
      <c r="AH1" s="113"/>
      <c r="AI1" s="113"/>
      <c r="AJ1" s="113"/>
      <c r="AK1" s="112" t="s">
        <v>4</v>
      </c>
      <c r="AL1" s="112"/>
      <c r="AM1" s="35">
        <v>46092</v>
      </c>
    </row>
    <row r="2" spans="1:39" ht="45" x14ac:dyDescent="0.2">
      <c r="A2" s="4" t="s">
        <v>245</v>
      </c>
      <c r="B2" s="4" t="s">
        <v>147</v>
      </c>
      <c r="C2" s="4" t="s">
        <v>148</v>
      </c>
      <c r="D2" s="4" t="s">
        <v>149</v>
      </c>
      <c r="E2" s="4" t="s">
        <v>150</v>
      </c>
      <c r="F2" s="1" t="s">
        <v>5</v>
      </c>
      <c r="G2" s="1" t="s">
        <v>151</v>
      </c>
      <c r="H2" s="1" t="s">
        <v>6</v>
      </c>
      <c r="I2" s="1" t="s">
        <v>7</v>
      </c>
      <c r="J2" s="1" t="s">
        <v>152</v>
      </c>
      <c r="K2" s="1" t="s">
        <v>153</v>
      </c>
      <c r="L2" s="1" t="s">
        <v>12</v>
      </c>
      <c r="M2" s="1" t="s">
        <v>13</v>
      </c>
      <c r="N2" s="1" t="s">
        <v>154</v>
      </c>
      <c r="O2" s="1" t="s">
        <v>155</v>
      </c>
      <c r="P2" s="1" t="s">
        <v>120</v>
      </c>
      <c r="Q2" s="1" t="s">
        <v>121</v>
      </c>
      <c r="R2" s="1" t="s">
        <v>156</v>
      </c>
      <c r="S2" s="1" t="s">
        <v>157</v>
      </c>
      <c r="T2" s="1" t="s">
        <v>158</v>
      </c>
      <c r="U2" s="1" t="s">
        <v>159</v>
      </c>
      <c r="V2" s="1" t="s">
        <v>160</v>
      </c>
      <c r="W2" s="1" t="s">
        <v>161</v>
      </c>
      <c r="X2" s="1" t="s">
        <v>162</v>
      </c>
      <c r="Y2" s="1" t="s">
        <v>163</v>
      </c>
      <c r="Z2" s="1" t="s">
        <v>164</v>
      </c>
      <c r="AA2" s="1" t="s">
        <v>125</v>
      </c>
      <c r="AB2" s="1" t="s">
        <v>126</v>
      </c>
      <c r="AC2" s="1" t="s">
        <v>127</v>
      </c>
      <c r="AD2" s="26" t="s">
        <v>165</v>
      </c>
      <c r="AE2" s="26" t="s">
        <v>166</v>
      </c>
      <c r="AF2" s="26" t="s">
        <v>167</v>
      </c>
      <c r="AG2" s="66" t="s">
        <v>168</v>
      </c>
      <c r="AH2" s="66" t="s">
        <v>169</v>
      </c>
      <c r="AI2" s="67" t="s">
        <v>170</v>
      </c>
      <c r="AJ2" s="67" t="s">
        <v>171</v>
      </c>
      <c r="AK2" s="12" t="s">
        <v>172</v>
      </c>
      <c r="AL2" s="12" t="s">
        <v>173</v>
      </c>
      <c r="AM2" s="68" t="s">
        <v>174</v>
      </c>
    </row>
    <row r="3" spans="1:39" x14ac:dyDescent="0.2">
      <c r="A3" s="7">
        <v>2025</v>
      </c>
      <c r="B3" s="28" t="str">
        <f t="shared" ref="B3:B38" si="0">UPPER(TEXT(C3,"MMM"))</f>
        <v>FEB</v>
      </c>
      <c r="C3" s="8">
        <v>46069</v>
      </c>
      <c r="D3" s="8"/>
      <c r="E3" s="8">
        <v>46069</v>
      </c>
      <c r="F3" s="7" t="s">
        <v>80</v>
      </c>
      <c r="G3" s="7" t="s">
        <v>175</v>
      </c>
      <c r="H3" s="78" t="str">
        <f>UPPER(VLOOKUP(F3,Droplist!A:C,3,0))</f>
        <v>JENS POTTSCHUL</v>
      </c>
      <c r="I3" s="28" t="s">
        <v>176</v>
      </c>
      <c r="J3" s="8">
        <v>46143</v>
      </c>
      <c r="K3" s="8">
        <v>46387</v>
      </c>
      <c r="L3" s="8">
        <v>46143</v>
      </c>
      <c r="M3" s="8">
        <v>46387</v>
      </c>
      <c r="N3" s="28" t="s">
        <v>132</v>
      </c>
      <c r="O3" s="28" t="s">
        <v>132</v>
      </c>
      <c r="P3" s="28" t="s">
        <v>133</v>
      </c>
      <c r="Q3" s="28" t="s">
        <v>141</v>
      </c>
      <c r="R3" s="28" t="s">
        <v>133</v>
      </c>
      <c r="S3" s="28" t="s">
        <v>44</v>
      </c>
      <c r="T3" s="28" t="s">
        <v>44</v>
      </c>
      <c r="U3" s="28" t="s">
        <v>44</v>
      </c>
      <c r="V3" s="28" t="s">
        <v>44</v>
      </c>
      <c r="W3" s="28" t="s">
        <v>44</v>
      </c>
      <c r="X3" s="28" t="s">
        <v>135</v>
      </c>
      <c r="Y3" s="28" t="s">
        <v>135</v>
      </c>
      <c r="Z3" s="28" t="s">
        <v>135</v>
      </c>
      <c r="AA3" s="28" t="s">
        <v>135</v>
      </c>
      <c r="AB3" s="28" t="s">
        <v>135</v>
      </c>
      <c r="AC3" s="28" t="s">
        <v>134</v>
      </c>
      <c r="AD3" s="28" t="s">
        <v>135</v>
      </c>
      <c r="AE3" s="28" t="s">
        <v>201</v>
      </c>
      <c r="AF3" s="28" t="str">
        <f>IF(AD3="Y",IF(AM3&gt;1,"Y","N"),"")</f>
        <v/>
      </c>
      <c r="AG3" s="28" t="str">
        <f>IFERROR(IF(NETWORKDAYS(C3+1,E3)&gt;=2,"Y","N"),"N")</f>
        <v>N</v>
      </c>
      <c r="AH3" s="28"/>
      <c r="AI3" s="28" t="s">
        <v>135</v>
      </c>
      <c r="AJ3" s="28"/>
      <c r="AK3" s="33">
        <f t="shared" ref="AK3:AK43" si="1">IFERROR(NETWORKDAYS(K3,$AM$1),"-")</f>
        <v>-212</v>
      </c>
      <c r="AL3" s="33">
        <f t="shared" ref="AL3:AL43" si="2">IFERROR(NETWORKDAYS(M3,$AM$1),"-")</f>
        <v>-212</v>
      </c>
      <c r="AM3" s="33">
        <f t="shared" ref="AM3:AM34" si="3">IFERROR(COUNTIFS($F$3:$F$1048576,F3,$G$3:$G$1048576,G3),"")</f>
        <v>1</v>
      </c>
    </row>
    <row r="4" spans="1:39" x14ac:dyDescent="0.2">
      <c r="A4" s="7">
        <v>2025</v>
      </c>
      <c r="B4" s="28" t="str">
        <f t="shared" si="0"/>
        <v>FEB</v>
      </c>
      <c r="C4" s="31">
        <v>46073</v>
      </c>
      <c r="D4" s="31"/>
      <c r="E4" s="30" t="s">
        <v>60</v>
      </c>
      <c r="F4" s="28" t="s">
        <v>87</v>
      </c>
      <c r="G4" s="28" t="s">
        <v>178</v>
      </c>
      <c r="H4" s="28" t="str">
        <f>UPPER(VLOOKUP(F4,Droplist!A:C,3,0))</f>
        <v>MARTIN SCHULZ</v>
      </c>
      <c r="I4" s="28" t="s">
        <v>179</v>
      </c>
      <c r="J4" s="8">
        <v>46073</v>
      </c>
      <c r="K4" s="8">
        <v>46387</v>
      </c>
      <c r="L4" s="8">
        <v>46073</v>
      </c>
      <c r="M4" s="8">
        <v>46203</v>
      </c>
      <c r="N4" s="28" t="s">
        <v>132</v>
      </c>
      <c r="O4" s="28" t="s">
        <v>132</v>
      </c>
      <c r="P4" s="28" t="s">
        <v>133</v>
      </c>
      <c r="Q4" s="28" t="s">
        <v>139</v>
      </c>
      <c r="R4" s="28" t="s">
        <v>132</v>
      </c>
      <c r="S4" s="28" t="s">
        <v>132</v>
      </c>
      <c r="T4" s="28" t="s">
        <v>132</v>
      </c>
      <c r="U4" s="28" t="s">
        <v>132</v>
      </c>
      <c r="V4" s="28" t="s">
        <v>132</v>
      </c>
      <c r="W4" s="28" t="s">
        <v>132</v>
      </c>
      <c r="X4" s="28" t="s">
        <v>135</v>
      </c>
      <c r="Y4" s="28" t="s">
        <v>135</v>
      </c>
      <c r="Z4" s="28" t="s">
        <v>135</v>
      </c>
      <c r="AA4" s="28" t="s">
        <v>135</v>
      </c>
      <c r="AB4" s="28" t="s">
        <v>135</v>
      </c>
      <c r="AC4" s="28" t="s">
        <v>135</v>
      </c>
      <c r="AD4" s="28" t="s">
        <v>134</v>
      </c>
      <c r="AE4" s="28" t="s">
        <v>60</v>
      </c>
      <c r="AF4" s="28" t="str">
        <f t="shared" ref="AF4:AF43" si="4">IF(AD4="Y",IF(AM4&gt;1,"Y","N"),"")</f>
        <v>N</v>
      </c>
      <c r="AG4" s="28" t="str">
        <f t="shared" ref="AG4:AG45" si="5">IFERROR(IF(NETWORKDAYS(C4+1,E4)&gt;=2,"Y","N"),"N")</f>
        <v>N</v>
      </c>
      <c r="AH4" s="28"/>
      <c r="AI4" s="28" t="s">
        <v>135</v>
      </c>
      <c r="AJ4" s="28"/>
      <c r="AK4" s="33">
        <f t="shared" si="1"/>
        <v>-212</v>
      </c>
      <c r="AL4" s="33">
        <f t="shared" si="2"/>
        <v>-80</v>
      </c>
      <c r="AM4" s="33">
        <f t="shared" si="3"/>
        <v>1</v>
      </c>
    </row>
    <row r="5" spans="1:39" x14ac:dyDescent="0.2">
      <c r="A5" s="7">
        <v>2025</v>
      </c>
      <c r="B5" s="28" t="str">
        <f t="shared" si="0"/>
        <v>FEB</v>
      </c>
      <c r="C5" s="31">
        <v>46072</v>
      </c>
      <c r="D5" s="31"/>
      <c r="E5" s="30" t="s">
        <v>60</v>
      </c>
      <c r="F5" s="28" t="s">
        <v>97</v>
      </c>
      <c r="G5" s="28" t="s">
        <v>180</v>
      </c>
      <c r="H5" s="29" t="str">
        <f>UPPER(VLOOKUP(F5,Droplist!A:C,3,0))</f>
        <v>JAKOB BLUHME / TOM HINE</v>
      </c>
      <c r="I5" s="28" t="s">
        <v>181</v>
      </c>
      <c r="J5" s="8">
        <v>46076</v>
      </c>
      <c r="K5" s="8">
        <v>46387</v>
      </c>
      <c r="L5" s="8">
        <v>46076</v>
      </c>
      <c r="M5" s="8">
        <v>46387</v>
      </c>
      <c r="N5" s="28" t="s">
        <v>132</v>
      </c>
      <c r="O5" s="28" t="s">
        <v>132</v>
      </c>
      <c r="P5" s="28" t="s">
        <v>141</v>
      </c>
      <c r="Q5" s="28" t="s">
        <v>139</v>
      </c>
      <c r="R5" s="28" t="s">
        <v>132</v>
      </c>
      <c r="S5" s="28" t="s">
        <v>132</v>
      </c>
      <c r="T5" s="28" t="s">
        <v>132</v>
      </c>
      <c r="U5" s="28" t="s">
        <v>132</v>
      </c>
      <c r="V5" s="28" t="s">
        <v>132</v>
      </c>
      <c r="W5" s="28" t="s">
        <v>132</v>
      </c>
      <c r="X5" s="28" t="s">
        <v>135</v>
      </c>
      <c r="Y5" s="28" t="s">
        <v>135</v>
      </c>
      <c r="Z5" s="28" t="s">
        <v>135</v>
      </c>
      <c r="AA5" s="28" t="s">
        <v>135</v>
      </c>
      <c r="AB5" s="28" t="s">
        <v>135</v>
      </c>
      <c r="AC5" s="28" t="s">
        <v>134</v>
      </c>
      <c r="AD5" s="28" t="s">
        <v>134</v>
      </c>
      <c r="AE5" s="28" t="s">
        <v>60</v>
      </c>
      <c r="AF5" s="28" t="str">
        <f t="shared" si="4"/>
        <v>N</v>
      </c>
      <c r="AG5" s="28" t="str">
        <f t="shared" si="5"/>
        <v>N</v>
      </c>
      <c r="AH5" s="28"/>
      <c r="AI5" s="28" t="s">
        <v>135</v>
      </c>
      <c r="AJ5" s="28"/>
      <c r="AK5" s="33">
        <f t="shared" si="1"/>
        <v>-212</v>
      </c>
      <c r="AL5" s="33">
        <f t="shared" si="2"/>
        <v>-212</v>
      </c>
      <c r="AM5" s="33">
        <f t="shared" si="3"/>
        <v>1</v>
      </c>
    </row>
    <row r="6" spans="1:39" x14ac:dyDescent="0.2">
      <c r="A6" s="7">
        <v>2025</v>
      </c>
      <c r="B6" s="28" t="str">
        <f t="shared" si="0"/>
        <v>FEB</v>
      </c>
      <c r="C6" s="31">
        <v>46073</v>
      </c>
      <c r="D6" s="31"/>
      <c r="E6" s="31">
        <v>46076</v>
      </c>
      <c r="F6" s="32" t="s">
        <v>80</v>
      </c>
      <c r="G6" s="28" t="s">
        <v>182</v>
      </c>
      <c r="H6" s="28" t="str">
        <f>UPPER(VLOOKUP(F6,Droplist!A:C,3,0))</f>
        <v>JENS POTTSCHUL</v>
      </c>
      <c r="I6" s="28" t="s">
        <v>183</v>
      </c>
      <c r="J6" s="8">
        <v>46077</v>
      </c>
      <c r="K6" s="8">
        <v>46387</v>
      </c>
      <c r="L6" s="8">
        <v>46077</v>
      </c>
      <c r="M6" s="8">
        <v>46387</v>
      </c>
      <c r="N6" s="28" t="s">
        <v>132</v>
      </c>
      <c r="O6" s="28" t="s">
        <v>132</v>
      </c>
      <c r="P6" s="28" t="s">
        <v>133</v>
      </c>
      <c r="Q6" s="28" t="s">
        <v>139</v>
      </c>
      <c r="R6" s="28" t="s">
        <v>132</v>
      </c>
      <c r="S6" s="28" t="s">
        <v>132</v>
      </c>
      <c r="T6" s="28" t="s">
        <v>132</v>
      </c>
      <c r="U6" s="28" t="s">
        <v>132</v>
      </c>
      <c r="V6" s="28" t="s">
        <v>132</v>
      </c>
      <c r="W6" s="28" t="s">
        <v>132</v>
      </c>
      <c r="X6" s="28" t="s">
        <v>135</v>
      </c>
      <c r="Y6" s="28" t="s">
        <v>134</v>
      </c>
      <c r="Z6" s="28" t="s">
        <v>135</v>
      </c>
      <c r="AA6" s="28" t="s">
        <v>135</v>
      </c>
      <c r="AB6" s="28" t="s">
        <v>135</v>
      </c>
      <c r="AC6" s="28" t="s">
        <v>135</v>
      </c>
      <c r="AD6" s="28" t="s">
        <v>135</v>
      </c>
      <c r="AE6" s="28" t="s">
        <v>177</v>
      </c>
      <c r="AF6" s="28" t="str">
        <f t="shared" si="4"/>
        <v/>
      </c>
      <c r="AG6" s="28" t="str">
        <f t="shared" si="5"/>
        <v>N</v>
      </c>
      <c r="AH6" s="28"/>
      <c r="AI6" s="28" t="s">
        <v>135</v>
      </c>
      <c r="AJ6" s="28"/>
      <c r="AK6" s="33">
        <f t="shared" si="1"/>
        <v>-212</v>
      </c>
      <c r="AL6" s="33">
        <f t="shared" si="2"/>
        <v>-212</v>
      </c>
      <c r="AM6" s="33">
        <f t="shared" si="3"/>
        <v>1</v>
      </c>
    </row>
    <row r="7" spans="1:39" x14ac:dyDescent="0.2">
      <c r="A7" s="7">
        <v>2025</v>
      </c>
      <c r="B7" s="28" t="str">
        <f t="shared" si="0"/>
        <v>FEB</v>
      </c>
      <c r="C7" s="31">
        <v>46073</v>
      </c>
      <c r="D7" s="31"/>
      <c r="E7" s="30" t="s">
        <v>60</v>
      </c>
      <c r="F7" s="28" t="s">
        <v>55</v>
      </c>
      <c r="G7" s="28" t="s">
        <v>184</v>
      </c>
      <c r="H7" s="28" t="str">
        <f>UPPER(VLOOKUP(F7,Droplist!A:C,3,0))</f>
        <v>METTE B. KARAPETIAN</v>
      </c>
      <c r="I7" s="28" t="s">
        <v>181</v>
      </c>
      <c r="J7" s="8">
        <v>46077</v>
      </c>
      <c r="K7" s="8">
        <v>46203</v>
      </c>
      <c r="L7" s="8">
        <v>46077</v>
      </c>
      <c r="M7" s="8">
        <v>46203</v>
      </c>
      <c r="N7" s="28" t="s">
        <v>132</v>
      </c>
      <c r="O7" s="28" t="s">
        <v>132</v>
      </c>
      <c r="P7" s="28" t="s">
        <v>137</v>
      </c>
      <c r="Q7" s="28" t="s">
        <v>139</v>
      </c>
      <c r="R7" s="28" t="s">
        <v>132</v>
      </c>
      <c r="S7" s="28" t="s">
        <v>132</v>
      </c>
      <c r="T7" s="28" t="s">
        <v>132</v>
      </c>
      <c r="U7" s="28" t="s">
        <v>132</v>
      </c>
      <c r="V7" s="28" t="s">
        <v>132</v>
      </c>
      <c r="W7" s="28" t="s">
        <v>132</v>
      </c>
      <c r="X7" s="28" t="s">
        <v>135</v>
      </c>
      <c r="Y7" s="28" t="s">
        <v>134</v>
      </c>
      <c r="Z7" s="28" t="s">
        <v>135</v>
      </c>
      <c r="AA7" s="28" t="s">
        <v>135</v>
      </c>
      <c r="AB7" s="28" t="s">
        <v>135</v>
      </c>
      <c r="AC7" s="28" t="s">
        <v>135</v>
      </c>
      <c r="AD7" s="28" t="s">
        <v>134</v>
      </c>
      <c r="AE7" s="28" t="s">
        <v>60</v>
      </c>
      <c r="AF7" s="28" t="str">
        <f t="shared" si="4"/>
        <v>N</v>
      </c>
      <c r="AG7" s="28" t="str">
        <f t="shared" si="5"/>
        <v>N</v>
      </c>
      <c r="AH7" s="28"/>
      <c r="AI7" s="28" t="s">
        <v>135</v>
      </c>
      <c r="AJ7" s="28"/>
      <c r="AK7" s="33">
        <f t="shared" si="1"/>
        <v>-80</v>
      </c>
      <c r="AL7" s="33">
        <f t="shared" si="2"/>
        <v>-80</v>
      </c>
      <c r="AM7" s="33">
        <f t="shared" si="3"/>
        <v>1</v>
      </c>
    </row>
    <row r="8" spans="1:39" x14ac:dyDescent="0.2">
      <c r="A8" s="7">
        <v>2025</v>
      </c>
      <c r="B8" s="28" t="str">
        <f t="shared" si="0"/>
        <v>FEB</v>
      </c>
      <c r="C8" s="31">
        <v>46073</v>
      </c>
      <c r="D8" s="31"/>
      <c r="E8" s="31">
        <v>46076</v>
      </c>
      <c r="F8" s="28" t="s">
        <v>185</v>
      </c>
      <c r="G8" s="28" t="s">
        <v>186</v>
      </c>
      <c r="H8" s="28" t="str">
        <f>UPPER(VLOOKUP(F8,Droplist!A:C,3,0))</f>
        <v>JENS POTTSCHUL</v>
      </c>
      <c r="I8" s="28" t="s">
        <v>187</v>
      </c>
      <c r="J8" s="8">
        <v>46143</v>
      </c>
      <c r="K8" s="8">
        <v>46507</v>
      </c>
      <c r="L8" s="8">
        <v>46143</v>
      </c>
      <c r="M8" s="8">
        <v>46507</v>
      </c>
      <c r="N8" s="28" t="s">
        <v>132</v>
      </c>
      <c r="O8" s="28" t="s">
        <v>132</v>
      </c>
      <c r="P8" s="28" t="s">
        <v>137</v>
      </c>
      <c r="Q8" s="28" t="s">
        <v>139</v>
      </c>
      <c r="R8" s="28" t="s">
        <v>132</v>
      </c>
      <c r="S8" s="28" t="s">
        <v>132</v>
      </c>
      <c r="T8" s="28" t="s">
        <v>44</v>
      </c>
      <c r="U8" s="28" t="s">
        <v>44</v>
      </c>
      <c r="V8" s="28" t="s">
        <v>44</v>
      </c>
      <c r="W8" s="28" t="s">
        <v>44</v>
      </c>
      <c r="X8" s="28" t="s">
        <v>135</v>
      </c>
      <c r="Y8" s="28" t="s">
        <v>134</v>
      </c>
      <c r="Z8" s="28" t="s">
        <v>135</v>
      </c>
      <c r="AA8" s="28" t="s">
        <v>135</v>
      </c>
      <c r="AB8" s="28" t="s">
        <v>135</v>
      </c>
      <c r="AC8" s="28" t="s">
        <v>135</v>
      </c>
      <c r="AD8" s="28" t="s">
        <v>135</v>
      </c>
      <c r="AE8" s="28" t="s">
        <v>177</v>
      </c>
      <c r="AF8" s="28" t="str">
        <f t="shared" si="4"/>
        <v/>
      </c>
      <c r="AG8" s="28" t="str">
        <f t="shared" si="5"/>
        <v>N</v>
      </c>
      <c r="AH8" s="28"/>
      <c r="AI8" s="28" t="s">
        <v>135</v>
      </c>
      <c r="AJ8" s="28"/>
      <c r="AK8" s="33">
        <f t="shared" si="1"/>
        <v>-298</v>
      </c>
      <c r="AL8" s="33">
        <f t="shared" si="2"/>
        <v>-298</v>
      </c>
      <c r="AM8" s="33">
        <f t="shared" si="3"/>
        <v>1</v>
      </c>
    </row>
    <row r="9" spans="1:39" x14ac:dyDescent="0.2">
      <c r="A9" s="7">
        <v>2025</v>
      </c>
      <c r="B9" s="28" t="str">
        <f t="shared" si="0"/>
        <v>FEB</v>
      </c>
      <c r="C9" s="31">
        <v>46078</v>
      </c>
      <c r="D9" s="31"/>
      <c r="E9" s="30" t="s">
        <v>60</v>
      </c>
      <c r="F9" s="28" t="s">
        <v>80</v>
      </c>
      <c r="G9" s="28" t="s">
        <v>188</v>
      </c>
      <c r="H9" s="28" t="str">
        <f>UPPER(VLOOKUP(F9,Droplist!A:C,3,0))</f>
        <v>JENS POTTSCHUL</v>
      </c>
      <c r="I9" s="28" t="s">
        <v>189</v>
      </c>
      <c r="J9" s="8">
        <v>46174</v>
      </c>
      <c r="K9" s="8">
        <v>46387</v>
      </c>
      <c r="L9" s="8">
        <v>46174</v>
      </c>
      <c r="M9" s="8">
        <v>46387</v>
      </c>
      <c r="N9" s="28" t="s">
        <v>132</v>
      </c>
      <c r="O9" s="28" t="s">
        <v>132</v>
      </c>
      <c r="P9" s="28" t="s">
        <v>133</v>
      </c>
      <c r="Q9" s="28" t="s">
        <v>139</v>
      </c>
      <c r="R9" s="28" t="s">
        <v>140</v>
      </c>
      <c r="S9" s="28" t="s">
        <v>44</v>
      </c>
      <c r="T9" s="28" t="s">
        <v>44</v>
      </c>
      <c r="U9" s="28" t="s">
        <v>44</v>
      </c>
      <c r="V9" s="28" t="s">
        <v>44</v>
      </c>
      <c r="W9" s="28" t="s">
        <v>44</v>
      </c>
      <c r="X9" s="28" t="s">
        <v>135</v>
      </c>
      <c r="Y9" s="28" t="s">
        <v>135</v>
      </c>
      <c r="Z9" s="28" t="s">
        <v>135</v>
      </c>
      <c r="AA9" s="28" t="s">
        <v>135</v>
      </c>
      <c r="AB9" s="28" t="s">
        <v>135</v>
      </c>
      <c r="AC9" s="28" t="s">
        <v>134</v>
      </c>
      <c r="AD9" s="28" t="s">
        <v>134</v>
      </c>
      <c r="AE9" s="28" t="s">
        <v>60</v>
      </c>
      <c r="AF9" s="28" t="str">
        <f t="shared" si="4"/>
        <v>N</v>
      </c>
      <c r="AG9" s="28" t="str">
        <f t="shared" si="5"/>
        <v>N</v>
      </c>
      <c r="AH9" s="28"/>
      <c r="AI9" s="28" t="s">
        <v>135</v>
      </c>
      <c r="AJ9" s="28"/>
      <c r="AK9" s="33">
        <f t="shared" si="1"/>
        <v>-212</v>
      </c>
      <c r="AL9" s="33">
        <f t="shared" si="2"/>
        <v>-212</v>
      </c>
      <c r="AM9" s="33">
        <f t="shared" si="3"/>
        <v>1</v>
      </c>
    </row>
    <row r="10" spans="1:39" x14ac:dyDescent="0.2">
      <c r="A10" s="7">
        <v>2025</v>
      </c>
      <c r="B10" s="28" t="str">
        <f t="shared" si="0"/>
        <v>FEB</v>
      </c>
      <c r="C10" s="8">
        <v>46076</v>
      </c>
      <c r="D10" s="8"/>
      <c r="E10" s="8">
        <v>46077</v>
      </c>
      <c r="F10" s="28" t="s">
        <v>190</v>
      </c>
      <c r="G10" s="28" t="s">
        <v>191</v>
      </c>
      <c r="H10" s="28" t="str">
        <f>UPPER(VLOOKUP(F10,Droplist!A:C,3,0))</f>
        <v>KEVIN TAYLOR</v>
      </c>
      <c r="I10" s="28" t="s">
        <v>192</v>
      </c>
      <c r="J10" s="8">
        <v>46082</v>
      </c>
      <c r="K10" s="8">
        <v>46387</v>
      </c>
      <c r="L10" s="8">
        <v>46082</v>
      </c>
      <c r="M10" s="8">
        <v>46112</v>
      </c>
      <c r="N10" s="28" t="s">
        <v>137</v>
      </c>
      <c r="O10" s="28" t="s">
        <v>139</v>
      </c>
      <c r="P10" s="28" t="s">
        <v>137</v>
      </c>
      <c r="Q10" s="28" t="s">
        <v>139</v>
      </c>
      <c r="R10" s="28" t="s">
        <v>132</v>
      </c>
      <c r="S10" s="28" t="s">
        <v>132</v>
      </c>
      <c r="T10" s="28" t="s">
        <v>132</v>
      </c>
      <c r="U10" s="28" t="s">
        <v>132</v>
      </c>
      <c r="V10" s="28" t="s">
        <v>132</v>
      </c>
      <c r="W10" s="28" t="s">
        <v>132</v>
      </c>
      <c r="X10" s="28" t="s">
        <v>135</v>
      </c>
      <c r="Y10" s="28" t="s">
        <v>135</v>
      </c>
      <c r="Z10" s="28" t="s">
        <v>135</v>
      </c>
      <c r="AA10" s="28" t="s">
        <v>135</v>
      </c>
      <c r="AB10" s="28" t="s">
        <v>135</v>
      </c>
      <c r="AC10" s="28" t="s">
        <v>135</v>
      </c>
      <c r="AD10" s="28" t="s">
        <v>135</v>
      </c>
      <c r="AE10" s="28" t="s">
        <v>201</v>
      </c>
      <c r="AF10" s="28" t="str">
        <f t="shared" si="4"/>
        <v/>
      </c>
      <c r="AG10" s="28" t="str">
        <f t="shared" si="5"/>
        <v>N</v>
      </c>
      <c r="AH10" s="28"/>
      <c r="AI10" s="28" t="s">
        <v>135</v>
      </c>
      <c r="AJ10" s="28"/>
      <c r="AK10" s="33">
        <f t="shared" si="1"/>
        <v>-212</v>
      </c>
      <c r="AL10" s="33">
        <f t="shared" si="2"/>
        <v>-15</v>
      </c>
      <c r="AM10" s="33">
        <f t="shared" si="3"/>
        <v>2</v>
      </c>
    </row>
    <row r="11" spans="1:39" x14ac:dyDescent="0.2">
      <c r="A11" s="7">
        <v>2025</v>
      </c>
      <c r="B11" s="28" t="str">
        <f t="shared" si="0"/>
        <v>FEB</v>
      </c>
      <c r="C11" s="31">
        <v>46072</v>
      </c>
      <c r="D11" s="31"/>
      <c r="E11" s="31">
        <v>46073</v>
      </c>
      <c r="F11" s="28" t="s">
        <v>45</v>
      </c>
      <c r="G11" s="28" t="s">
        <v>193</v>
      </c>
      <c r="H11" s="28" t="str">
        <f>UPPER(VLOOKUP(F11,Droplist!A:C,3,0))</f>
        <v>DENNIS FRANKOWSKI</v>
      </c>
      <c r="I11" s="28" t="s">
        <v>192</v>
      </c>
      <c r="J11" s="8">
        <v>46082</v>
      </c>
      <c r="K11" s="8">
        <v>46387</v>
      </c>
      <c r="L11" s="8">
        <v>46082</v>
      </c>
      <c r="M11" s="8">
        <v>46203</v>
      </c>
      <c r="N11" s="28" t="s">
        <v>132</v>
      </c>
      <c r="O11" s="28" t="s">
        <v>132</v>
      </c>
      <c r="P11" s="28" t="s">
        <v>133</v>
      </c>
      <c r="Q11" s="28" t="s">
        <v>139</v>
      </c>
      <c r="R11" s="28" t="s">
        <v>132</v>
      </c>
      <c r="S11" s="28" t="s">
        <v>132</v>
      </c>
      <c r="T11" s="28" t="s">
        <v>132</v>
      </c>
      <c r="U11" s="28" t="s">
        <v>132</v>
      </c>
      <c r="V11" s="28" t="s">
        <v>132</v>
      </c>
      <c r="W11" s="28" t="s">
        <v>132</v>
      </c>
      <c r="X11" s="28" t="s">
        <v>135</v>
      </c>
      <c r="Y11" s="28" t="s">
        <v>134</v>
      </c>
      <c r="Z11" s="28" t="s">
        <v>135</v>
      </c>
      <c r="AA11" s="28" t="s">
        <v>135</v>
      </c>
      <c r="AB11" s="28" t="s">
        <v>135</v>
      </c>
      <c r="AC11" s="28" t="s">
        <v>134</v>
      </c>
      <c r="AD11" s="28" t="s">
        <v>135</v>
      </c>
      <c r="AE11" s="28" t="s">
        <v>177</v>
      </c>
      <c r="AF11" s="28" t="str">
        <f t="shared" si="4"/>
        <v/>
      </c>
      <c r="AG11" s="28" t="str">
        <f t="shared" si="5"/>
        <v>N</v>
      </c>
      <c r="AH11" s="28"/>
      <c r="AI11" s="28" t="s">
        <v>135</v>
      </c>
      <c r="AJ11" s="28"/>
      <c r="AK11" s="33">
        <f t="shared" si="1"/>
        <v>-212</v>
      </c>
      <c r="AL11" s="33">
        <f t="shared" si="2"/>
        <v>-80</v>
      </c>
      <c r="AM11" s="33">
        <f t="shared" si="3"/>
        <v>1</v>
      </c>
    </row>
    <row r="12" spans="1:39" x14ac:dyDescent="0.2">
      <c r="A12" s="7">
        <v>2025</v>
      </c>
      <c r="B12" s="28" t="str">
        <f t="shared" si="0"/>
        <v>FEB</v>
      </c>
      <c r="C12" s="31">
        <v>46076</v>
      </c>
      <c r="D12" s="31"/>
      <c r="E12" s="31">
        <v>46077</v>
      </c>
      <c r="F12" s="28" t="s">
        <v>102</v>
      </c>
      <c r="G12" s="28" t="s">
        <v>194</v>
      </c>
      <c r="H12" s="28" t="str">
        <f>UPPER(VLOOKUP(F12,Droplist!A:C,3,0))</f>
        <v>JENS POTTSCHUL</v>
      </c>
      <c r="I12" s="28" t="s">
        <v>195</v>
      </c>
      <c r="J12" s="8">
        <v>46143</v>
      </c>
      <c r="K12" s="8">
        <v>46507</v>
      </c>
      <c r="L12" s="8">
        <v>46143</v>
      </c>
      <c r="M12" s="8">
        <v>46507</v>
      </c>
      <c r="N12" s="28" t="s">
        <v>132</v>
      </c>
      <c r="O12" s="28" t="s">
        <v>139</v>
      </c>
      <c r="P12" s="28" t="s">
        <v>133</v>
      </c>
      <c r="Q12" s="28" t="s">
        <v>139</v>
      </c>
      <c r="R12" s="28" t="s">
        <v>132</v>
      </c>
      <c r="S12" s="28" t="s">
        <v>132</v>
      </c>
      <c r="T12" s="28" t="s">
        <v>132</v>
      </c>
      <c r="U12" s="28" t="s">
        <v>132</v>
      </c>
      <c r="V12" s="28" t="s">
        <v>132</v>
      </c>
      <c r="W12" s="28" t="s">
        <v>132</v>
      </c>
      <c r="X12" s="28" t="s">
        <v>135</v>
      </c>
      <c r="Y12" s="28" t="s">
        <v>134</v>
      </c>
      <c r="Z12" s="28" t="s">
        <v>135</v>
      </c>
      <c r="AA12" s="28" t="s">
        <v>135</v>
      </c>
      <c r="AB12" s="28" t="s">
        <v>135</v>
      </c>
      <c r="AC12" s="28" t="s">
        <v>135</v>
      </c>
      <c r="AD12" s="28" t="s">
        <v>135</v>
      </c>
      <c r="AE12" s="28" t="s">
        <v>177</v>
      </c>
      <c r="AF12" s="28" t="str">
        <f t="shared" si="4"/>
        <v/>
      </c>
      <c r="AG12" s="28" t="str">
        <f t="shared" si="5"/>
        <v>N</v>
      </c>
      <c r="AH12" s="28"/>
      <c r="AI12" s="28" t="s">
        <v>135</v>
      </c>
      <c r="AJ12" s="28"/>
      <c r="AK12" s="33">
        <f t="shared" si="1"/>
        <v>-298</v>
      </c>
      <c r="AL12" s="33">
        <f t="shared" si="2"/>
        <v>-298</v>
      </c>
      <c r="AM12" s="33">
        <f t="shared" si="3"/>
        <v>1</v>
      </c>
    </row>
    <row r="13" spans="1:39" x14ac:dyDescent="0.2">
      <c r="A13" s="7">
        <v>2025</v>
      </c>
      <c r="B13" s="28" t="str">
        <f t="shared" si="0"/>
        <v>FEB</v>
      </c>
      <c r="C13" s="31">
        <v>46074</v>
      </c>
      <c r="D13" s="31"/>
      <c r="E13" s="31">
        <v>46078</v>
      </c>
      <c r="F13" s="28" t="s">
        <v>99</v>
      </c>
      <c r="G13" s="28" t="s">
        <v>196</v>
      </c>
      <c r="H13" s="28" t="str">
        <f>UPPER(VLOOKUP(F13,Droplist!A:C,3,0))</f>
        <v>KEVIN TAYLOR</v>
      </c>
      <c r="I13" s="28" t="s">
        <v>181</v>
      </c>
      <c r="J13" s="8">
        <v>46082</v>
      </c>
      <c r="K13" s="8">
        <v>46446</v>
      </c>
      <c r="L13" s="8">
        <v>46082</v>
      </c>
      <c r="M13" s="8">
        <v>46446</v>
      </c>
      <c r="N13" s="28" t="s">
        <v>132</v>
      </c>
      <c r="O13" s="28" t="s">
        <v>132</v>
      </c>
      <c r="P13" s="28" t="s">
        <v>137</v>
      </c>
      <c r="Q13" s="28" t="s">
        <v>139</v>
      </c>
      <c r="R13" s="28" t="s">
        <v>132</v>
      </c>
      <c r="S13" s="28" t="s">
        <v>132</v>
      </c>
      <c r="T13" s="28" t="s">
        <v>132</v>
      </c>
      <c r="U13" s="28" t="s">
        <v>132</v>
      </c>
      <c r="V13" s="28" t="s">
        <v>132</v>
      </c>
      <c r="W13" s="28" t="s">
        <v>132</v>
      </c>
      <c r="X13" s="28" t="s">
        <v>134</v>
      </c>
      <c r="Y13" s="28" t="s">
        <v>134</v>
      </c>
      <c r="Z13" s="28" t="s">
        <v>135</v>
      </c>
      <c r="AA13" s="28" t="s">
        <v>135</v>
      </c>
      <c r="AB13" s="28" t="s">
        <v>135</v>
      </c>
      <c r="AC13" s="28" t="s">
        <v>134</v>
      </c>
      <c r="AD13" s="28" t="s">
        <v>135</v>
      </c>
      <c r="AE13" s="28" t="s">
        <v>177</v>
      </c>
      <c r="AF13" s="28" t="str">
        <f t="shared" si="4"/>
        <v/>
      </c>
      <c r="AG13" s="28" t="str">
        <f t="shared" si="5"/>
        <v>Y</v>
      </c>
      <c r="AH13" s="28" t="s">
        <v>197</v>
      </c>
      <c r="AI13" s="28" t="s">
        <v>135</v>
      </c>
      <c r="AJ13" s="28"/>
      <c r="AK13" s="33">
        <f t="shared" si="1"/>
        <v>-253</v>
      </c>
      <c r="AL13" s="33">
        <f t="shared" si="2"/>
        <v>-253</v>
      </c>
      <c r="AM13" s="33">
        <f t="shared" si="3"/>
        <v>1</v>
      </c>
    </row>
    <row r="14" spans="1:39" x14ac:dyDescent="0.2">
      <c r="A14" s="7">
        <v>2025</v>
      </c>
      <c r="B14" s="28" t="str">
        <f t="shared" si="0"/>
        <v>FEB</v>
      </c>
      <c r="C14" s="31">
        <v>46077</v>
      </c>
      <c r="D14" s="31"/>
      <c r="E14" s="31">
        <v>46078</v>
      </c>
      <c r="F14" s="28" t="s">
        <v>84</v>
      </c>
      <c r="G14" s="28" t="s">
        <v>198</v>
      </c>
      <c r="H14" s="28" t="str">
        <f>UPPER(VLOOKUP(F14,Droplist!A:C,3,0))</f>
        <v>MARTIN SCHULZ</v>
      </c>
      <c r="I14" s="28" t="s">
        <v>179</v>
      </c>
      <c r="J14" s="8">
        <v>46083</v>
      </c>
      <c r="K14" s="8">
        <v>46387</v>
      </c>
      <c r="L14" s="8">
        <v>46083</v>
      </c>
      <c r="M14" s="8">
        <v>46112</v>
      </c>
      <c r="N14" s="28" t="s">
        <v>132</v>
      </c>
      <c r="O14" s="28" t="s">
        <v>132</v>
      </c>
      <c r="P14" s="28" t="s">
        <v>133</v>
      </c>
      <c r="Q14" s="28" t="s">
        <v>139</v>
      </c>
      <c r="R14" s="28" t="s">
        <v>132</v>
      </c>
      <c r="S14" s="28" t="s">
        <v>132</v>
      </c>
      <c r="T14" s="28" t="s">
        <v>132</v>
      </c>
      <c r="U14" s="28" t="s">
        <v>132</v>
      </c>
      <c r="V14" s="28" t="s">
        <v>132</v>
      </c>
      <c r="W14" s="28" t="s">
        <v>132</v>
      </c>
      <c r="X14" s="28" t="s">
        <v>134</v>
      </c>
      <c r="Y14" s="28" t="s">
        <v>135</v>
      </c>
      <c r="Z14" s="28" t="s">
        <v>135</v>
      </c>
      <c r="AA14" s="28" t="s">
        <v>135</v>
      </c>
      <c r="AB14" s="28" t="s">
        <v>135</v>
      </c>
      <c r="AC14" s="28" t="s">
        <v>135</v>
      </c>
      <c r="AD14" s="28" t="s">
        <v>135</v>
      </c>
      <c r="AE14" s="28" t="s">
        <v>177</v>
      </c>
      <c r="AF14" s="28" t="str">
        <f t="shared" si="4"/>
        <v/>
      </c>
      <c r="AG14" s="28" t="str">
        <f t="shared" si="5"/>
        <v>N</v>
      </c>
      <c r="AH14" s="28"/>
      <c r="AI14" s="28" t="s">
        <v>135</v>
      </c>
      <c r="AJ14" s="28"/>
      <c r="AK14" s="33">
        <f t="shared" si="1"/>
        <v>-212</v>
      </c>
      <c r="AL14" s="33">
        <f t="shared" si="2"/>
        <v>-15</v>
      </c>
      <c r="AM14" s="33">
        <f t="shared" si="3"/>
        <v>3</v>
      </c>
    </row>
    <row r="15" spans="1:39" x14ac:dyDescent="0.2">
      <c r="A15" s="7">
        <v>2025</v>
      </c>
      <c r="B15" s="28" t="str">
        <f t="shared" si="0"/>
        <v>FEB</v>
      </c>
      <c r="C15" s="8">
        <v>46077</v>
      </c>
      <c r="D15" s="8"/>
      <c r="E15" s="8">
        <v>46078</v>
      </c>
      <c r="F15" s="28" t="s">
        <v>25</v>
      </c>
      <c r="G15" s="28" t="s">
        <v>199</v>
      </c>
      <c r="H15" s="28" t="str">
        <f>UPPER(VLOOKUP(F15,Droplist!A:C,3,0))</f>
        <v>PETER ANDERSEN</v>
      </c>
      <c r="I15" s="28" t="s">
        <v>200</v>
      </c>
      <c r="J15" s="8">
        <v>46084</v>
      </c>
      <c r="K15" s="8">
        <v>46387</v>
      </c>
      <c r="L15" s="8">
        <v>46084</v>
      </c>
      <c r="M15" s="8">
        <v>46387</v>
      </c>
      <c r="N15" s="28" t="s">
        <v>132</v>
      </c>
      <c r="O15" s="28" t="s">
        <v>139</v>
      </c>
      <c r="P15" s="28" t="s">
        <v>133</v>
      </c>
      <c r="Q15" s="28" t="s">
        <v>139</v>
      </c>
      <c r="R15" s="28" t="s">
        <v>132</v>
      </c>
      <c r="S15" s="28" t="s">
        <v>132</v>
      </c>
      <c r="T15" s="28" t="s">
        <v>132</v>
      </c>
      <c r="U15" s="28" t="s">
        <v>132</v>
      </c>
      <c r="V15" s="28" t="s">
        <v>132</v>
      </c>
      <c r="W15" s="28" t="s">
        <v>132</v>
      </c>
      <c r="X15" s="28" t="s">
        <v>135</v>
      </c>
      <c r="Y15" s="28" t="s">
        <v>135</v>
      </c>
      <c r="Z15" s="28" t="s">
        <v>135</v>
      </c>
      <c r="AA15" s="28" t="s">
        <v>135</v>
      </c>
      <c r="AB15" s="28" t="s">
        <v>135</v>
      </c>
      <c r="AC15" s="28" t="s">
        <v>134</v>
      </c>
      <c r="AD15" s="28" t="s">
        <v>135</v>
      </c>
      <c r="AE15" s="28" t="s">
        <v>201</v>
      </c>
      <c r="AF15" s="28" t="str">
        <f t="shared" si="4"/>
        <v/>
      </c>
      <c r="AG15" s="28" t="str">
        <f t="shared" si="5"/>
        <v>N</v>
      </c>
      <c r="AH15" s="28"/>
      <c r="AI15" s="28" t="s">
        <v>135</v>
      </c>
      <c r="AJ15" s="28"/>
      <c r="AK15" s="33">
        <f t="shared" si="1"/>
        <v>-212</v>
      </c>
      <c r="AL15" s="33">
        <f t="shared" si="2"/>
        <v>-212</v>
      </c>
      <c r="AM15" s="33">
        <f t="shared" si="3"/>
        <v>1</v>
      </c>
    </row>
    <row r="16" spans="1:39" x14ac:dyDescent="0.2">
      <c r="A16" s="7">
        <v>2025</v>
      </c>
      <c r="B16" s="28" t="str">
        <f t="shared" si="0"/>
        <v>FEB</v>
      </c>
      <c r="C16" s="31">
        <v>46078</v>
      </c>
      <c r="D16" s="31"/>
      <c r="E16" s="31">
        <v>46079</v>
      </c>
      <c r="F16" s="28" t="s">
        <v>80</v>
      </c>
      <c r="G16" s="28" t="s">
        <v>202</v>
      </c>
      <c r="H16" s="28" t="str">
        <f>UPPER(VLOOKUP(F16,Droplist!A:C,3,0))</f>
        <v>JENS POTTSCHUL</v>
      </c>
      <c r="I16" s="28" t="s">
        <v>203</v>
      </c>
      <c r="J16" s="8">
        <v>46174</v>
      </c>
      <c r="K16" s="8">
        <v>46387</v>
      </c>
      <c r="L16" s="8">
        <v>46174</v>
      </c>
      <c r="M16" s="8">
        <v>46387</v>
      </c>
      <c r="N16" s="28" t="s">
        <v>132</v>
      </c>
      <c r="O16" s="28" t="s">
        <v>132</v>
      </c>
      <c r="P16" s="28" t="s">
        <v>133</v>
      </c>
      <c r="Q16" s="28" t="s">
        <v>139</v>
      </c>
      <c r="R16" s="28" t="s">
        <v>132</v>
      </c>
      <c r="S16" s="28" t="s">
        <v>132</v>
      </c>
      <c r="T16" s="28" t="s">
        <v>44</v>
      </c>
      <c r="U16" s="28" t="s">
        <v>44</v>
      </c>
      <c r="V16" s="28" t="s">
        <v>44</v>
      </c>
      <c r="W16" s="28" t="s">
        <v>44</v>
      </c>
      <c r="X16" s="28" t="s">
        <v>134</v>
      </c>
      <c r="Y16" s="28" t="s">
        <v>135</v>
      </c>
      <c r="Z16" s="28" t="s">
        <v>135</v>
      </c>
      <c r="AA16" s="28" t="s">
        <v>135</v>
      </c>
      <c r="AB16" s="28" t="s">
        <v>135</v>
      </c>
      <c r="AC16" s="28" t="s">
        <v>134</v>
      </c>
      <c r="AD16" s="28" t="s">
        <v>135</v>
      </c>
      <c r="AE16" s="28" t="s">
        <v>177</v>
      </c>
      <c r="AF16" s="28" t="str">
        <f t="shared" si="4"/>
        <v/>
      </c>
      <c r="AG16" s="28" t="str">
        <f t="shared" si="5"/>
        <v>N</v>
      </c>
      <c r="AH16" s="28"/>
      <c r="AI16" s="28" t="s">
        <v>135</v>
      </c>
      <c r="AJ16" s="28"/>
      <c r="AK16" s="33">
        <f t="shared" si="1"/>
        <v>-212</v>
      </c>
      <c r="AL16" s="33">
        <f t="shared" si="2"/>
        <v>-212</v>
      </c>
      <c r="AM16" s="33">
        <f t="shared" si="3"/>
        <v>1</v>
      </c>
    </row>
    <row r="17" spans="1:39" x14ac:dyDescent="0.2">
      <c r="A17" s="7">
        <v>2025</v>
      </c>
      <c r="B17" s="28" t="str">
        <f t="shared" si="0"/>
        <v>FEB</v>
      </c>
      <c r="C17" s="8">
        <v>46078</v>
      </c>
      <c r="D17" s="8"/>
      <c r="E17" s="8">
        <v>46079</v>
      </c>
      <c r="F17" s="28" t="s">
        <v>87</v>
      </c>
      <c r="G17" s="28" t="s">
        <v>204</v>
      </c>
      <c r="H17" s="28" t="str">
        <f>UPPER(VLOOKUP(F17,Droplist!A:C,3,0))</f>
        <v>MARTIN SCHULZ</v>
      </c>
      <c r="I17" s="28" t="s">
        <v>205</v>
      </c>
      <c r="J17" s="8">
        <v>46113</v>
      </c>
      <c r="K17" s="8">
        <v>46387</v>
      </c>
      <c r="L17" s="8">
        <v>46113</v>
      </c>
      <c r="M17" s="8">
        <v>46387</v>
      </c>
      <c r="N17" s="28" t="s">
        <v>137</v>
      </c>
      <c r="O17" s="28" t="s">
        <v>137</v>
      </c>
      <c r="P17" s="28" t="s">
        <v>139</v>
      </c>
      <c r="Q17" s="28" t="s">
        <v>139</v>
      </c>
      <c r="R17" s="28" t="s">
        <v>132</v>
      </c>
      <c r="S17" s="28" t="s">
        <v>44</v>
      </c>
      <c r="T17" s="28" t="s">
        <v>44</v>
      </c>
      <c r="U17" s="28" t="s">
        <v>44</v>
      </c>
      <c r="V17" s="28" t="s">
        <v>44</v>
      </c>
      <c r="W17" s="28" t="s">
        <v>44</v>
      </c>
      <c r="X17" s="28" t="s">
        <v>135</v>
      </c>
      <c r="Y17" s="28" t="s">
        <v>135</v>
      </c>
      <c r="Z17" s="28" t="s">
        <v>135</v>
      </c>
      <c r="AA17" s="28" t="s">
        <v>135</v>
      </c>
      <c r="AB17" s="28" t="s">
        <v>135</v>
      </c>
      <c r="AC17" s="28" t="s">
        <v>134</v>
      </c>
      <c r="AD17" s="28" t="s">
        <v>135</v>
      </c>
      <c r="AE17" s="28" t="s">
        <v>206</v>
      </c>
      <c r="AF17" s="28" t="str">
        <f t="shared" si="4"/>
        <v/>
      </c>
      <c r="AG17" s="28" t="str">
        <f t="shared" si="5"/>
        <v>N</v>
      </c>
      <c r="AH17" s="28"/>
      <c r="AI17" s="28" t="s">
        <v>135</v>
      </c>
      <c r="AJ17" s="28"/>
      <c r="AK17" s="33">
        <f t="shared" si="1"/>
        <v>-212</v>
      </c>
      <c r="AL17" s="33">
        <f t="shared" si="2"/>
        <v>-212</v>
      </c>
      <c r="AM17" s="33">
        <f t="shared" si="3"/>
        <v>1</v>
      </c>
    </row>
    <row r="18" spans="1:39" x14ac:dyDescent="0.2">
      <c r="A18" s="7">
        <v>2025</v>
      </c>
      <c r="B18" s="28" t="str">
        <f t="shared" si="0"/>
        <v>FEB</v>
      </c>
      <c r="C18" s="31">
        <v>46078</v>
      </c>
      <c r="D18" s="31"/>
      <c r="E18" s="31">
        <v>46079</v>
      </c>
      <c r="F18" s="28" t="s">
        <v>207</v>
      </c>
      <c r="G18" s="28" t="s">
        <v>208</v>
      </c>
      <c r="H18" s="28" t="str">
        <f>UPPER(VLOOKUP(F18,Droplist!A:C,3,0))</f>
        <v>JENS POTTSCHUL</v>
      </c>
      <c r="I18" s="28" t="s">
        <v>187</v>
      </c>
      <c r="J18" s="8">
        <v>46113</v>
      </c>
      <c r="K18" s="8">
        <v>46387</v>
      </c>
      <c r="L18" s="8">
        <v>46113</v>
      </c>
      <c r="M18" s="8">
        <v>46387</v>
      </c>
      <c r="N18" s="28" t="s">
        <v>132</v>
      </c>
      <c r="O18" s="28" t="s">
        <v>132</v>
      </c>
      <c r="P18" s="28" t="s">
        <v>137</v>
      </c>
      <c r="Q18" s="28" t="s">
        <v>139</v>
      </c>
      <c r="R18" s="28" t="s">
        <v>140</v>
      </c>
      <c r="S18" s="28" t="s">
        <v>132</v>
      </c>
      <c r="T18" s="28" t="s">
        <v>132</v>
      </c>
      <c r="U18" s="28" t="s">
        <v>132</v>
      </c>
      <c r="V18" s="28" t="s">
        <v>132</v>
      </c>
      <c r="W18" s="28" t="s">
        <v>132</v>
      </c>
      <c r="X18" s="28" t="s">
        <v>135</v>
      </c>
      <c r="Y18" s="28" t="s">
        <v>134</v>
      </c>
      <c r="Z18" s="28" t="s">
        <v>135</v>
      </c>
      <c r="AA18" s="28" t="s">
        <v>135</v>
      </c>
      <c r="AB18" s="28" t="s">
        <v>135</v>
      </c>
      <c r="AC18" s="28" t="s">
        <v>134</v>
      </c>
      <c r="AD18" s="28" t="s">
        <v>135</v>
      </c>
      <c r="AE18" s="28" t="s">
        <v>177</v>
      </c>
      <c r="AF18" s="28" t="str">
        <f t="shared" si="4"/>
        <v/>
      </c>
      <c r="AG18" s="28" t="str">
        <f t="shared" si="5"/>
        <v>N</v>
      </c>
      <c r="AH18" s="28"/>
      <c r="AI18" s="28" t="s">
        <v>135</v>
      </c>
      <c r="AJ18" s="28"/>
      <c r="AK18" s="33">
        <f t="shared" si="1"/>
        <v>-212</v>
      </c>
      <c r="AL18" s="33">
        <f t="shared" si="2"/>
        <v>-212</v>
      </c>
      <c r="AM18" s="33">
        <f t="shared" si="3"/>
        <v>1</v>
      </c>
    </row>
    <row r="19" spans="1:39" x14ac:dyDescent="0.2">
      <c r="A19" s="7">
        <v>2025</v>
      </c>
      <c r="B19" s="28" t="str">
        <f t="shared" si="0"/>
        <v>FEB</v>
      </c>
      <c r="C19" s="31">
        <v>46078</v>
      </c>
      <c r="D19" s="31"/>
      <c r="E19" s="31">
        <v>46079</v>
      </c>
      <c r="F19" s="28" t="s">
        <v>45</v>
      </c>
      <c r="G19" s="28" t="s">
        <v>209</v>
      </c>
      <c r="H19" s="28" t="str">
        <f>UPPER(VLOOKUP(F19,Droplist!A:C,3,0))</f>
        <v>DENNIS FRANKOWSKI</v>
      </c>
      <c r="I19" s="28" t="s">
        <v>210</v>
      </c>
      <c r="J19" s="8">
        <v>46113</v>
      </c>
      <c r="K19" s="8">
        <v>46387</v>
      </c>
      <c r="L19" s="8">
        <v>46113</v>
      </c>
      <c r="M19" s="8">
        <v>46387</v>
      </c>
      <c r="N19" s="28" t="s">
        <v>132</v>
      </c>
      <c r="O19" s="28" t="s">
        <v>132</v>
      </c>
      <c r="P19" s="28" t="s">
        <v>133</v>
      </c>
      <c r="Q19" s="28" t="s">
        <v>139</v>
      </c>
      <c r="R19" s="28" t="s">
        <v>132</v>
      </c>
      <c r="S19" s="28" t="s">
        <v>44</v>
      </c>
      <c r="T19" s="28" t="s">
        <v>44</v>
      </c>
      <c r="U19" s="28" t="s">
        <v>44</v>
      </c>
      <c r="V19" s="28" t="s">
        <v>44</v>
      </c>
      <c r="W19" s="28" t="s">
        <v>44</v>
      </c>
      <c r="X19" s="28" t="s">
        <v>135</v>
      </c>
      <c r="Y19" s="28" t="s">
        <v>134</v>
      </c>
      <c r="Z19" s="28" t="s">
        <v>135</v>
      </c>
      <c r="AA19" s="28" t="s">
        <v>135</v>
      </c>
      <c r="AB19" s="28" t="s">
        <v>135</v>
      </c>
      <c r="AC19" s="28" t="s">
        <v>134</v>
      </c>
      <c r="AD19" s="28" t="s">
        <v>135</v>
      </c>
      <c r="AE19" s="28" t="s">
        <v>177</v>
      </c>
      <c r="AF19" s="28" t="str">
        <f t="shared" si="4"/>
        <v/>
      </c>
      <c r="AG19" s="28" t="str">
        <f t="shared" si="5"/>
        <v>N</v>
      </c>
      <c r="AH19" s="28"/>
      <c r="AI19" s="28" t="s">
        <v>135</v>
      </c>
      <c r="AJ19" s="28"/>
      <c r="AK19" s="33">
        <f t="shared" si="1"/>
        <v>-212</v>
      </c>
      <c r="AL19" s="33">
        <f t="shared" si="2"/>
        <v>-212</v>
      </c>
      <c r="AM19" s="33">
        <f t="shared" si="3"/>
        <v>1</v>
      </c>
    </row>
    <row r="20" spans="1:39" x14ac:dyDescent="0.2">
      <c r="A20" s="7">
        <v>2025</v>
      </c>
      <c r="B20" s="28" t="str">
        <f t="shared" si="0"/>
        <v>FEB</v>
      </c>
      <c r="C20" s="31">
        <v>46078</v>
      </c>
      <c r="D20" s="31"/>
      <c r="E20" s="31">
        <v>46079</v>
      </c>
      <c r="F20" s="28" t="s">
        <v>75</v>
      </c>
      <c r="G20" s="28" t="s">
        <v>211</v>
      </c>
      <c r="H20" s="28" t="str">
        <f>UPPER(VLOOKUP(F20,Droplist!A:C,3,0))</f>
        <v>MARTIN SCHULZ</v>
      </c>
      <c r="I20" s="28" t="s">
        <v>212</v>
      </c>
      <c r="J20" s="8">
        <v>46082</v>
      </c>
      <c r="K20" s="8">
        <v>46387</v>
      </c>
      <c r="L20" s="8">
        <v>46082</v>
      </c>
      <c r="M20" s="8">
        <v>46203</v>
      </c>
      <c r="N20" s="28" t="s">
        <v>137</v>
      </c>
      <c r="O20" s="28" t="s">
        <v>132</v>
      </c>
      <c r="P20" s="28" t="s">
        <v>133</v>
      </c>
      <c r="Q20" s="28" t="s">
        <v>139</v>
      </c>
      <c r="R20" s="28" t="s">
        <v>140</v>
      </c>
      <c r="S20" s="28" t="s">
        <v>50</v>
      </c>
      <c r="T20" s="28" t="s">
        <v>50</v>
      </c>
      <c r="U20" s="28" t="s">
        <v>50</v>
      </c>
      <c r="V20" s="28" t="s">
        <v>50</v>
      </c>
      <c r="W20" s="28" t="s">
        <v>50</v>
      </c>
      <c r="X20" s="28" t="s">
        <v>135</v>
      </c>
      <c r="Y20" s="28" t="s">
        <v>134</v>
      </c>
      <c r="Z20" s="28" t="s">
        <v>135</v>
      </c>
      <c r="AA20" s="28" t="s">
        <v>135</v>
      </c>
      <c r="AB20" s="28" t="s">
        <v>135</v>
      </c>
      <c r="AC20" s="28" t="s">
        <v>134</v>
      </c>
      <c r="AD20" s="28" t="s">
        <v>135</v>
      </c>
      <c r="AE20" s="28" t="s">
        <v>177</v>
      </c>
      <c r="AF20" s="28" t="str">
        <f t="shared" si="4"/>
        <v/>
      </c>
      <c r="AG20" s="28" t="str">
        <f t="shared" si="5"/>
        <v>N</v>
      </c>
      <c r="AH20" s="28"/>
      <c r="AI20" s="28" t="s">
        <v>135</v>
      </c>
      <c r="AJ20" s="28"/>
      <c r="AK20" s="33">
        <f t="shared" si="1"/>
        <v>-212</v>
      </c>
      <c r="AL20" s="33">
        <f t="shared" si="2"/>
        <v>-80</v>
      </c>
      <c r="AM20" s="33">
        <f t="shared" si="3"/>
        <v>1</v>
      </c>
    </row>
    <row r="21" spans="1:39" x14ac:dyDescent="0.2">
      <c r="A21" s="7">
        <v>2025</v>
      </c>
      <c r="B21" s="28" t="str">
        <f t="shared" si="0"/>
        <v>FEB</v>
      </c>
      <c r="C21" s="8">
        <v>46078</v>
      </c>
      <c r="D21" s="8"/>
      <c r="E21" s="8">
        <v>46079</v>
      </c>
      <c r="F21" s="28" t="s">
        <v>87</v>
      </c>
      <c r="G21" s="28" t="s">
        <v>213</v>
      </c>
      <c r="H21" s="28" t="str">
        <f>UPPER(VLOOKUP(F21,Droplist!A:C,3,0))</f>
        <v>MARTIN SCHULZ</v>
      </c>
      <c r="I21" s="28" t="s">
        <v>214</v>
      </c>
      <c r="J21" s="8">
        <v>46113</v>
      </c>
      <c r="K21" s="8">
        <v>46387</v>
      </c>
      <c r="L21" s="8">
        <v>46113</v>
      </c>
      <c r="M21" s="8">
        <v>46295</v>
      </c>
      <c r="N21" s="28" t="s">
        <v>132</v>
      </c>
      <c r="O21" s="28" t="s">
        <v>132</v>
      </c>
      <c r="P21" s="28" t="s">
        <v>137</v>
      </c>
      <c r="Q21" s="28" t="s">
        <v>139</v>
      </c>
      <c r="R21" s="28" t="s">
        <v>140</v>
      </c>
      <c r="S21" s="28" t="s">
        <v>50</v>
      </c>
      <c r="T21" s="28" t="s">
        <v>132</v>
      </c>
      <c r="U21" s="28" t="s">
        <v>132</v>
      </c>
      <c r="V21" s="28" t="s">
        <v>132</v>
      </c>
      <c r="W21" s="28" t="s">
        <v>132</v>
      </c>
      <c r="X21" s="28" t="s">
        <v>135</v>
      </c>
      <c r="Y21" s="28" t="s">
        <v>135</v>
      </c>
      <c r="Z21" s="28" t="s">
        <v>135</v>
      </c>
      <c r="AA21" s="28" t="s">
        <v>135</v>
      </c>
      <c r="AB21" s="28" t="s">
        <v>135</v>
      </c>
      <c r="AC21" s="28" t="s">
        <v>135</v>
      </c>
      <c r="AD21" s="28" t="s">
        <v>135</v>
      </c>
      <c r="AE21" s="28" t="s">
        <v>201</v>
      </c>
      <c r="AF21" s="28" t="str">
        <f t="shared" si="4"/>
        <v/>
      </c>
      <c r="AG21" s="28" t="str">
        <f t="shared" si="5"/>
        <v>N</v>
      </c>
      <c r="AH21" s="28"/>
      <c r="AI21" s="28" t="s">
        <v>135</v>
      </c>
      <c r="AJ21" s="28"/>
      <c r="AK21" s="33">
        <f t="shared" si="1"/>
        <v>-212</v>
      </c>
      <c r="AL21" s="33">
        <f t="shared" si="2"/>
        <v>-146</v>
      </c>
      <c r="AM21" s="33">
        <f t="shared" si="3"/>
        <v>1</v>
      </c>
    </row>
    <row r="22" spans="1:39" x14ac:dyDescent="0.2">
      <c r="A22" s="7">
        <v>2025</v>
      </c>
      <c r="B22" s="28" t="str">
        <f t="shared" si="0"/>
        <v>FEB</v>
      </c>
      <c r="C22" s="31">
        <v>46079</v>
      </c>
      <c r="D22" s="31"/>
      <c r="E22" s="31">
        <v>46080</v>
      </c>
      <c r="F22" s="28" t="s">
        <v>48</v>
      </c>
      <c r="G22" s="28" t="s">
        <v>215</v>
      </c>
      <c r="H22" s="28" t="str">
        <f>UPPER(VLOOKUP(F22,Droplist!A:C,3,0))</f>
        <v>JAKOB BLUHME</v>
      </c>
      <c r="I22" s="28" t="s">
        <v>216</v>
      </c>
      <c r="J22" s="8">
        <v>46085</v>
      </c>
      <c r="K22" s="8">
        <v>46418</v>
      </c>
      <c r="L22" s="8">
        <v>46085</v>
      </c>
      <c r="M22" s="8">
        <v>46173</v>
      </c>
      <c r="N22" s="28" t="s">
        <v>132</v>
      </c>
      <c r="O22" s="28" t="s">
        <v>132</v>
      </c>
      <c r="P22" s="28" t="s">
        <v>137</v>
      </c>
      <c r="Q22" s="28" t="s">
        <v>139</v>
      </c>
      <c r="R22" s="28" t="s">
        <v>140</v>
      </c>
      <c r="S22" s="28" t="s">
        <v>50</v>
      </c>
      <c r="T22" s="28" t="s">
        <v>132</v>
      </c>
      <c r="U22" s="28" t="s">
        <v>132</v>
      </c>
      <c r="V22" s="28" t="s">
        <v>132</v>
      </c>
      <c r="W22" s="28" t="s">
        <v>132</v>
      </c>
      <c r="X22" s="28" t="s">
        <v>134</v>
      </c>
      <c r="Y22" s="28" t="s">
        <v>134</v>
      </c>
      <c r="Z22" s="28" t="s">
        <v>135</v>
      </c>
      <c r="AA22" s="28" t="s">
        <v>135</v>
      </c>
      <c r="AB22" s="28" t="s">
        <v>135</v>
      </c>
      <c r="AC22" s="28" t="s">
        <v>134</v>
      </c>
      <c r="AD22" s="28" t="s">
        <v>135</v>
      </c>
      <c r="AE22" s="28" t="s">
        <v>177</v>
      </c>
      <c r="AF22" s="28" t="str">
        <f t="shared" si="4"/>
        <v/>
      </c>
      <c r="AG22" s="28" t="str">
        <f t="shared" si="5"/>
        <v>N</v>
      </c>
      <c r="AH22" s="28"/>
      <c r="AI22" s="28" t="s">
        <v>135</v>
      </c>
      <c r="AJ22" s="28"/>
      <c r="AK22" s="33">
        <f t="shared" si="1"/>
        <v>-233</v>
      </c>
      <c r="AL22" s="33">
        <f t="shared" si="2"/>
        <v>-58</v>
      </c>
      <c r="AM22" s="33">
        <f t="shared" si="3"/>
        <v>1</v>
      </c>
    </row>
    <row r="23" spans="1:39" x14ac:dyDescent="0.2">
      <c r="A23" s="7">
        <v>2025</v>
      </c>
      <c r="B23" s="28" t="str">
        <f t="shared" si="0"/>
        <v>MAR</v>
      </c>
      <c r="C23" s="31">
        <v>46084</v>
      </c>
      <c r="D23" s="31"/>
      <c r="E23" s="31">
        <v>46084</v>
      </c>
      <c r="F23" s="28" t="s">
        <v>80</v>
      </c>
      <c r="G23" s="28" t="s">
        <v>217</v>
      </c>
      <c r="H23" s="28" t="str">
        <f>UPPER(VLOOKUP(F23,Droplist!A:C,3,0))</f>
        <v>JENS POTTSCHUL</v>
      </c>
      <c r="I23" s="28" t="s">
        <v>218</v>
      </c>
      <c r="J23" s="8">
        <v>46086</v>
      </c>
      <c r="K23" s="8">
        <v>46326</v>
      </c>
      <c r="L23" s="8">
        <v>46086</v>
      </c>
      <c r="M23" s="8">
        <v>46326</v>
      </c>
      <c r="N23" s="28" t="s">
        <v>132</v>
      </c>
      <c r="O23" s="28" t="s">
        <v>132</v>
      </c>
      <c r="P23" s="28" t="s">
        <v>137</v>
      </c>
      <c r="Q23" s="28" t="s">
        <v>137</v>
      </c>
      <c r="R23" s="28" t="s">
        <v>140</v>
      </c>
      <c r="S23" s="28" t="s">
        <v>44</v>
      </c>
      <c r="T23" s="28" t="s">
        <v>44</v>
      </c>
      <c r="U23" s="28" t="s">
        <v>44</v>
      </c>
      <c r="V23" s="28" t="s">
        <v>44</v>
      </c>
      <c r="W23" s="28" t="s">
        <v>44</v>
      </c>
      <c r="X23" s="28" t="s">
        <v>135</v>
      </c>
      <c r="Y23" s="28" t="s">
        <v>134</v>
      </c>
      <c r="Z23" s="28" t="s">
        <v>135</v>
      </c>
      <c r="AA23" s="28" t="s">
        <v>135</v>
      </c>
      <c r="AB23" s="28" t="s">
        <v>135</v>
      </c>
      <c r="AC23" s="28" t="s">
        <v>134</v>
      </c>
      <c r="AD23" s="28" t="s">
        <v>135</v>
      </c>
      <c r="AE23" s="28" t="s">
        <v>177</v>
      </c>
      <c r="AF23" s="28" t="str">
        <f t="shared" si="4"/>
        <v/>
      </c>
      <c r="AG23" s="28" t="str">
        <f t="shared" si="5"/>
        <v>N</v>
      </c>
      <c r="AH23" s="28"/>
      <c r="AI23" s="28" t="s">
        <v>135</v>
      </c>
      <c r="AJ23" s="28"/>
      <c r="AK23" s="33">
        <f t="shared" si="1"/>
        <v>-168</v>
      </c>
      <c r="AL23" s="33">
        <f t="shared" si="2"/>
        <v>-168</v>
      </c>
      <c r="AM23" s="33">
        <f t="shared" si="3"/>
        <v>1</v>
      </c>
    </row>
    <row r="24" spans="1:39" x14ac:dyDescent="0.2">
      <c r="A24" s="7">
        <v>2025</v>
      </c>
      <c r="B24" s="28" t="str">
        <f t="shared" si="0"/>
        <v>FEB</v>
      </c>
      <c r="C24" s="31">
        <v>46076</v>
      </c>
      <c r="D24" s="31"/>
      <c r="E24" s="31">
        <v>46077</v>
      </c>
      <c r="F24" s="28" t="s">
        <v>55</v>
      </c>
      <c r="G24" s="28" t="s">
        <v>219</v>
      </c>
      <c r="H24" s="28" t="str">
        <f>UPPER(VLOOKUP(F24,Droplist!A:C,3,0))</f>
        <v>METTE B. KARAPETIAN</v>
      </c>
      <c r="I24" s="28" t="s">
        <v>181</v>
      </c>
      <c r="J24" s="8">
        <v>46087</v>
      </c>
      <c r="K24" s="8">
        <v>46295</v>
      </c>
      <c r="L24" s="8">
        <v>46087</v>
      </c>
      <c r="M24" s="8">
        <v>46295</v>
      </c>
      <c r="N24" s="28" t="s">
        <v>132</v>
      </c>
      <c r="O24" s="28" t="s">
        <v>132</v>
      </c>
      <c r="P24" s="28" t="s">
        <v>133</v>
      </c>
      <c r="Q24" s="28" t="s">
        <v>139</v>
      </c>
      <c r="R24" s="28" t="s">
        <v>132</v>
      </c>
      <c r="S24" s="28" t="s">
        <v>132</v>
      </c>
      <c r="T24" s="28" t="s">
        <v>132</v>
      </c>
      <c r="U24" s="28" t="s">
        <v>132</v>
      </c>
      <c r="V24" s="28" t="s">
        <v>132</v>
      </c>
      <c r="W24" s="28" t="s">
        <v>132</v>
      </c>
      <c r="X24" s="28" t="s">
        <v>134</v>
      </c>
      <c r="Y24" s="28" t="s">
        <v>134</v>
      </c>
      <c r="Z24" s="28" t="s">
        <v>135</v>
      </c>
      <c r="AA24" s="28" t="s">
        <v>135</v>
      </c>
      <c r="AB24" s="28" t="s">
        <v>135</v>
      </c>
      <c r="AC24" s="28" t="s">
        <v>134</v>
      </c>
      <c r="AD24" s="28" t="s">
        <v>135</v>
      </c>
      <c r="AE24" s="28" t="s">
        <v>177</v>
      </c>
      <c r="AF24" s="28" t="str">
        <f t="shared" si="4"/>
        <v/>
      </c>
      <c r="AG24" s="28" t="str">
        <f t="shared" si="5"/>
        <v>N</v>
      </c>
      <c r="AH24" s="28"/>
      <c r="AI24" s="28" t="s">
        <v>135</v>
      </c>
      <c r="AJ24" s="28"/>
      <c r="AK24" s="33">
        <f t="shared" si="1"/>
        <v>-146</v>
      </c>
      <c r="AL24" s="33">
        <f t="shared" si="2"/>
        <v>-146</v>
      </c>
      <c r="AM24" s="33">
        <f t="shared" si="3"/>
        <v>1</v>
      </c>
    </row>
    <row r="25" spans="1:39" x14ac:dyDescent="0.2">
      <c r="A25" s="7">
        <v>2025</v>
      </c>
      <c r="B25" s="28" t="str">
        <f t="shared" si="0"/>
        <v>MAR</v>
      </c>
      <c r="C25" s="31">
        <v>46083</v>
      </c>
      <c r="D25" s="31"/>
      <c r="E25" s="31">
        <v>46084</v>
      </c>
      <c r="F25" s="28" t="s">
        <v>48</v>
      </c>
      <c r="G25" s="28" t="s">
        <v>220</v>
      </c>
      <c r="H25" s="28" t="str">
        <f>UPPER(VLOOKUP(F25,Droplist!A:C,3,0))</f>
        <v>JAKOB BLUHME</v>
      </c>
      <c r="I25" s="28" t="s">
        <v>216</v>
      </c>
      <c r="J25" s="8">
        <v>46096</v>
      </c>
      <c r="K25" s="8">
        <v>46387</v>
      </c>
      <c r="L25" s="8">
        <v>46096</v>
      </c>
      <c r="M25" s="8">
        <v>46203</v>
      </c>
      <c r="N25" s="28" t="s">
        <v>132</v>
      </c>
      <c r="O25" s="28" t="s">
        <v>132</v>
      </c>
      <c r="P25" s="28" t="s">
        <v>133</v>
      </c>
      <c r="Q25" s="28" t="s">
        <v>139</v>
      </c>
      <c r="R25" s="28" t="s">
        <v>140</v>
      </c>
      <c r="S25" s="28" t="s">
        <v>50</v>
      </c>
      <c r="T25" s="28" t="s">
        <v>132</v>
      </c>
      <c r="U25" s="28" t="s">
        <v>132</v>
      </c>
      <c r="V25" s="28" t="s">
        <v>132</v>
      </c>
      <c r="W25" s="28" t="s">
        <v>132</v>
      </c>
      <c r="X25" s="28" t="s">
        <v>135</v>
      </c>
      <c r="Y25" s="28" t="s">
        <v>134</v>
      </c>
      <c r="Z25" s="28" t="s">
        <v>135</v>
      </c>
      <c r="AA25" s="28" t="s">
        <v>135</v>
      </c>
      <c r="AB25" s="28" t="s">
        <v>135</v>
      </c>
      <c r="AC25" s="28" t="s">
        <v>134</v>
      </c>
      <c r="AD25" s="28" t="s">
        <v>135</v>
      </c>
      <c r="AE25" s="28" t="s">
        <v>177</v>
      </c>
      <c r="AF25" s="28" t="str">
        <f t="shared" si="4"/>
        <v/>
      </c>
      <c r="AG25" s="28" t="str">
        <f t="shared" si="5"/>
        <v>N</v>
      </c>
      <c r="AH25" s="28"/>
      <c r="AI25" s="28" t="s">
        <v>135</v>
      </c>
      <c r="AJ25" s="28"/>
      <c r="AK25" s="33">
        <f t="shared" si="1"/>
        <v>-212</v>
      </c>
      <c r="AL25" s="33">
        <f t="shared" si="2"/>
        <v>-80</v>
      </c>
      <c r="AM25" s="33">
        <f t="shared" si="3"/>
        <v>1</v>
      </c>
    </row>
    <row r="26" spans="1:39" x14ac:dyDescent="0.2">
      <c r="A26" s="7">
        <v>2025</v>
      </c>
      <c r="B26" s="28" t="str">
        <f t="shared" si="0"/>
        <v>MAR</v>
      </c>
      <c r="C26" s="31">
        <v>46083</v>
      </c>
      <c r="D26" s="31"/>
      <c r="E26" s="31">
        <v>46083</v>
      </c>
      <c r="F26" s="28" t="s">
        <v>45</v>
      </c>
      <c r="G26" s="28" t="s">
        <v>221</v>
      </c>
      <c r="H26" s="28" t="str">
        <f>UPPER(VLOOKUP(F26,Droplist!A:C,3,0))</f>
        <v>DENNIS FRANKOWSKI</v>
      </c>
      <c r="I26" s="28" t="s">
        <v>222</v>
      </c>
      <c r="J26" s="8">
        <v>46113</v>
      </c>
      <c r="K26" s="8">
        <v>46387</v>
      </c>
      <c r="L26" s="8">
        <v>46113</v>
      </c>
      <c r="M26" s="8">
        <v>46387</v>
      </c>
      <c r="N26" s="28" t="s">
        <v>132</v>
      </c>
      <c r="O26" s="28" t="s">
        <v>132</v>
      </c>
      <c r="P26" s="28" t="s">
        <v>139</v>
      </c>
      <c r="Q26" s="28" t="s">
        <v>139</v>
      </c>
      <c r="R26" s="28" t="s">
        <v>132</v>
      </c>
      <c r="S26" s="28" t="s">
        <v>44</v>
      </c>
      <c r="T26" s="28" t="s">
        <v>44</v>
      </c>
      <c r="U26" s="28" t="s">
        <v>44</v>
      </c>
      <c r="V26" s="28" t="s">
        <v>44</v>
      </c>
      <c r="W26" s="28" t="s">
        <v>44</v>
      </c>
      <c r="X26" s="28" t="s">
        <v>135</v>
      </c>
      <c r="Y26" s="28" t="s">
        <v>134</v>
      </c>
      <c r="Z26" s="28" t="s">
        <v>135</v>
      </c>
      <c r="AA26" s="28" t="s">
        <v>135</v>
      </c>
      <c r="AB26" s="28" t="s">
        <v>135</v>
      </c>
      <c r="AC26" s="28" t="s">
        <v>134</v>
      </c>
      <c r="AD26" s="28" t="s">
        <v>135</v>
      </c>
      <c r="AE26" s="28" t="s">
        <v>177</v>
      </c>
      <c r="AF26" s="28" t="str">
        <f t="shared" si="4"/>
        <v/>
      </c>
      <c r="AG26" s="28" t="str">
        <f t="shared" si="5"/>
        <v>N</v>
      </c>
      <c r="AH26" s="28"/>
      <c r="AI26" s="28" t="s">
        <v>135</v>
      </c>
      <c r="AJ26" s="28"/>
      <c r="AK26" s="33">
        <f t="shared" si="1"/>
        <v>-212</v>
      </c>
      <c r="AL26" s="33">
        <f t="shared" si="2"/>
        <v>-212</v>
      </c>
      <c r="AM26" s="33">
        <f t="shared" si="3"/>
        <v>1</v>
      </c>
    </row>
    <row r="27" spans="1:39" x14ac:dyDescent="0.2">
      <c r="A27" s="7">
        <v>2025</v>
      </c>
      <c r="B27" s="28" t="str">
        <f t="shared" si="0"/>
        <v>MAR</v>
      </c>
      <c r="C27" s="31">
        <v>46085</v>
      </c>
      <c r="D27" s="31"/>
      <c r="E27" s="31">
        <v>46085</v>
      </c>
      <c r="F27" s="28" t="s">
        <v>48</v>
      </c>
      <c r="G27" s="28" t="s">
        <v>223</v>
      </c>
      <c r="H27" s="28" t="str">
        <f>UPPER(VLOOKUP(F27,Droplist!A:C,3,0))</f>
        <v>JAKOB BLUHME</v>
      </c>
      <c r="I27" s="28" t="s">
        <v>216</v>
      </c>
      <c r="J27" s="8">
        <v>46113</v>
      </c>
      <c r="K27" s="8">
        <v>46477</v>
      </c>
      <c r="L27" s="8">
        <v>46113</v>
      </c>
      <c r="M27" s="8">
        <v>46203</v>
      </c>
      <c r="N27" s="28" t="s">
        <v>132</v>
      </c>
      <c r="O27" s="28" t="s">
        <v>132</v>
      </c>
      <c r="P27" s="28" t="s">
        <v>137</v>
      </c>
      <c r="Q27" s="28" t="s">
        <v>139</v>
      </c>
      <c r="R27" s="28" t="s">
        <v>140</v>
      </c>
      <c r="S27" s="28" t="s">
        <v>50</v>
      </c>
      <c r="T27" s="28" t="s">
        <v>132</v>
      </c>
      <c r="U27" s="28" t="s">
        <v>132</v>
      </c>
      <c r="V27" s="28" t="s">
        <v>132</v>
      </c>
      <c r="W27" s="28" t="s">
        <v>132</v>
      </c>
      <c r="X27" s="28" t="s">
        <v>135</v>
      </c>
      <c r="Y27" s="28" t="s">
        <v>134</v>
      </c>
      <c r="Z27" s="28" t="s">
        <v>135</v>
      </c>
      <c r="AA27" s="28" t="s">
        <v>135</v>
      </c>
      <c r="AB27" s="28" t="s">
        <v>135</v>
      </c>
      <c r="AC27" s="28" t="s">
        <v>134</v>
      </c>
      <c r="AD27" s="28" t="s">
        <v>135</v>
      </c>
      <c r="AE27" s="28" t="s">
        <v>177</v>
      </c>
      <c r="AF27" s="28" t="str">
        <f t="shared" si="4"/>
        <v/>
      </c>
      <c r="AG27" s="28" t="str">
        <f t="shared" si="5"/>
        <v>N</v>
      </c>
      <c r="AH27" s="28"/>
      <c r="AI27" s="28" t="s">
        <v>135</v>
      </c>
      <c r="AJ27" s="28"/>
      <c r="AK27" s="33">
        <f t="shared" si="1"/>
        <v>-276</v>
      </c>
      <c r="AL27" s="33">
        <f t="shared" si="2"/>
        <v>-80</v>
      </c>
      <c r="AM27" s="33">
        <f t="shared" si="3"/>
        <v>2</v>
      </c>
    </row>
    <row r="28" spans="1:39" x14ac:dyDescent="0.2">
      <c r="A28" s="7">
        <v>2025</v>
      </c>
      <c r="B28" s="28" t="str">
        <f t="shared" si="0"/>
        <v>MAR</v>
      </c>
      <c r="C28" s="31">
        <v>46087</v>
      </c>
      <c r="D28" s="31"/>
      <c r="E28" s="31">
        <v>46087</v>
      </c>
      <c r="F28" s="28" t="s">
        <v>80</v>
      </c>
      <c r="G28" s="28" t="s">
        <v>224</v>
      </c>
      <c r="H28" s="28" t="str">
        <f>UPPER(VLOOKUP(F28,Droplist!A:C,3,0))</f>
        <v>JENS POTTSCHUL</v>
      </c>
      <c r="I28" s="28" t="s">
        <v>225</v>
      </c>
      <c r="J28" s="8">
        <v>46113</v>
      </c>
      <c r="K28" s="8">
        <v>46203</v>
      </c>
      <c r="L28" s="8">
        <v>46113</v>
      </c>
      <c r="M28" s="8">
        <v>46203</v>
      </c>
      <c r="N28" s="28" t="s">
        <v>132</v>
      </c>
      <c r="O28" s="28" t="s">
        <v>132</v>
      </c>
      <c r="P28" s="28" t="s">
        <v>133</v>
      </c>
      <c r="Q28" s="28" t="s">
        <v>141</v>
      </c>
      <c r="R28" s="28" t="s">
        <v>140</v>
      </c>
      <c r="S28" s="28" t="s">
        <v>50</v>
      </c>
      <c r="T28" s="28" t="s">
        <v>132</v>
      </c>
      <c r="U28" s="28" t="s">
        <v>132</v>
      </c>
      <c r="V28" s="28" t="s">
        <v>132</v>
      </c>
      <c r="W28" s="28" t="s">
        <v>44</v>
      </c>
      <c r="X28" s="28" t="s">
        <v>135</v>
      </c>
      <c r="Y28" s="28" t="s">
        <v>134</v>
      </c>
      <c r="Z28" s="28" t="s">
        <v>135</v>
      </c>
      <c r="AA28" s="28" t="s">
        <v>135</v>
      </c>
      <c r="AB28" s="28" t="s">
        <v>135</v>
      </c>
      <c r="AC28" s="28" t="s">
        <v>134</v>
      </c>
      <c r="AD28" s="28" t="s">
        <v>135</v>
      </c>
      <c r="AE28" s="28" t="s">
        <v>177</v>
      </c>
      <c r="AF28" s="28" t="str">
        <f t="shared" si="4"/>
        <v/>
      </c>
      <c r="AG28" s="28" t="str">
        <f t="shared" si="5"/>
        <v>N</v>
      </c>
      <c r="AH28" s="28"/>
      <c r="AI28" s="28" t="s">
        <v>135</v>
      </c>
      <c r="AJ28" s="28"/>
      <c r="AK28" s="33">
        <f t="shared" si="1"/>
        <v>-80</v>
      </c>
      <c r="AL28" s="33">
        <f t="shared" si="2"/>
        <v>-80</v>
      </c>
      <c r="AM28" s="33">
        <f t="shared" si="3"/>
        <v>2</v>
      </c>
    </row>
    <row r="29" spans="1:39" x14ac:dyDescent="0.2">
      <c r="A29" s="7">
        <v>2025</v>
      </c>
      <c r="B29" s="28" t="str">
        <f t="shared" si="0"/>
        <v>MAR</v>
      </c>
      <c r="C29" s="31">
        <v>46090</v>
      </c>
      <c r="D29" s="31"/>
      <c r="E29" s="31">
        <v>46090</v>
      </c>
      <c r="F29" s="28" t="s">
        <v>226</v>
      </c>
      <c r="G29" s="28" t="s">
        <v>227</v>
      </c>
      <c r="H29" s="28" t="str">
        <f>UPPER(VLOOKUP(F29,Droplist!A:C,3,0))</f>
        <v>MARTIN SCHULZ</v>
      </c>
      <c r="I29" s="28" t="s">
        <v>179</v>
      </c>
      <c r="J29" s="8">
        <v>46023</v>
      </c>
      <c r="K29" s="8">
        <v>46387</v>
      </c>
      <c r="L29" s="8">
        <v>46113</v>
      </c>
      <c r="M29" s="8">
        <v>46203</v>
      </c>
      <c r="N29" s="28" t="s">
        <v>137</v>
      </c>
      <c r="O29" s="28" t="s">
        <v>132</v>
      </c>
      <c r="P29" s="28" t="s">
        <v>139</v>
      </c>
      <c r="Q29" s="28" t="s">
        <v>139</v>
      </c>
      <c r="R29" s="28" t="s">
        <v>132</v>
      </c>
      <c r="S29" s="28" t="s">
        <v>50</v>
      </c>
      <c r="T29" s="28" t="s">
        <v>132</v>
      </c>
      <c r="U29" s="28" t="s">
        <v>132</v>
      </c>
      <c r="V29" s="28" t="s">
        <v>132</v>
      </c>
      <c r="W29" s="28" t="s">
        <v>132</v>
      </c>
      <c r="X29" s="28" t="s">
        <v>134</v>
      </c>
      <c r="Y29" s="28" t="s">
        <v>134</v>
      </c>
      <c r="Z29" s="28" t="s">
        <v>135</v>
      </c>
      <c r="AA29" s="28" t="s">
        <v>135</v>
      </c>
      <c r="AB29" s="28" t="s">
        <v>135</v>
      </c>
      <c r="AC29" s="28" t="s">
        <v>135</v>
      </c>
      <c r="AD29" s="28" t="s">
        <v>135</v>
      </c>
      <c r="AE29" s="28" t="s">
        <v>177</v>
      </c>
      <c r="AF29" s="28" t="str">
        <f t="shared" si="4"/>
        <v/>
      </c>
      <c r="AG29" s="28" t="str">
        <f t="shared" si="5"/>
        <v>N</v>
      </c>
      <c r="AH29" s="28"/>
      <c r="AI29" s="28" t="s">
        <v>135</v>
      </c>
      <c r="AJ29" s="28"/>
      <c r="AK29" s="33">
        <f t="shared" si="1"/>
        <v>-212</v>
      </c>
      <c r="AL29" s="33">
        <f t="shared" si="2"/>
        <v>-80</v>
      </c>
      <c r="AM29" s="33">
        <f t="shared" si="3"/>
        <v>1</v>
      </c>
    </row>
    <row r="30" spans="1:39" x14ac:dyDescent="0.2">
      <c r="A30" s="7">
        <v>2025</v>
      </c>
      <c r="B30" s="28" t="str">
        <f t="shared" si="0"/>
        <v>MAR</v>
      </c>
      <c r="C30" s="31">
        <v>46090</v>
      </c>
      <c r="D30" s="31"/>
      <c r="E30" s="31">
        <v>46090</v>
      </c>
      <c r="F30" s="28" t="s">
        <v>48</v>
      </c>
      <c r="G30" s="24" t="s">
        <v>228</v>
      </c>
      <c r="H30" s="28" t="str">
        <f>UPPER(VLOOKUP(F30,Droplist!A:C,3,0))</f>
        <v>JAKOB BLUHME</v>
      </c>
      <c r="I30" s="28" t="s">
        <v>216</v>
      </c>
      <c r="J30" s="8">
        <v>46023</v>
      </c>
      <c r="K30" s="8">
        <v>46203</v>
      </c>
      <c r="L30" s="8">
        <v>46113</v>
      </c>
      <c r="M30" s="8">
        <v>46203</v>
      </c>
      <c r="N30" s="28" t="s">
        <v>132</v>
      </c>
      <c r="O30" s="28" t="s">
        <v>132</v>
      </c>
      <c r="P30" s="28" t="s">
        <v>133</v>
      </c>
      <c r="Q30" s="28" t="s">
        <v>141</v>
      </c>
      <c r="R30" s="28" t="s">
        <v>140</v>
      </c>
      <c r="S30" s="28" t="s">
        <v>132</v>
      </c>
      <c r="T30" s="28" t="s">
        <v>132</v>
      </c>
      <c r="U30" s="28" t="s">
        <v>132</v>
      </c>
      <c r="V30" s="28" t="s">
        <v>132</v>
      </c>
      <c r="W30" s="28" t="s">
        <v>132</v>
      </c>
      <c r="X30" s="28" t="s">
        <v>135</v>
      </c>
      <c r="Y30" s="28" t="s">
        <v>134</v>
      </c>
      <c r="Z30" s="28" t="s">
        <v>135</v>
      </c>
      <c r="AA30" s="28" t="s">
        <v>134</v>
      </c>
      <c r="AB30" s="28" t="s">
        <v>135</v>
      </c>
      <c r="AC30" s="28" t="s">
        <v>135</v>
      </c>
      <c r="AD30" s="28" t="s">
        <v>135</v>
      </c>
      <c r="AE30" s="28" t="s">
        <v>177</v>
      </c>
      <c r="AF30" s="28" t="str">
        <f t="shared" si="4"/>
        <v/>
      </c>
      <c r="AG30" s="28" t="str">
        <f t="shared" si="5"/>
        <v>N</v>
      </c>
      <c r="AH30" s="28"/>
      <c r="AI30" s="28" t="s">
        <v>135</v>
      </c>
      <c r="AJ30" s="28"/>
      <c r="AK30" s="33">
        <f t="shared" si="1"/>
        <v>-80</v>
      </c>
      <c r="AL30" s="33">
        <f t="shared" si="2"/>
        <v>-80</v>
      </c>
      <c r="AM30" s="33">
        <f t="shared" si="3"/>
        <v>1</v>
      </c>
    </row>
    <row r="31" spans="1:39" x14ac:dyDescent="0.2">
      <c r="A31" s="7">
        <v>2025</v>
      </c>
      <c r="B31" s="28" t="str">
        <f t="shared" si="0"/>
        <v>MAR</v>
      </c>
      <c r="C31" s="31">
        <v>46090</v>
      </c>
      <c r="D31" s="31"/>
      <c r="E31" s="31">
        <v>46091</v>
      </c>
      <c r="F31" s="28" t="s">
        <v>229</v>
      </c>
      <c r="G31" s="24" t="s">
        <v>230</v>
      </c>
      <c r="H31" s="28" t="e">
        <f>UPPER(VLOOKUP(F31,Droplist!A:C,3,0))</f>
        <v>#N/A</v>
      </c>
      <c r="I31" s="28" t="s">
        <v>216</v>
      </c>
      <c r="J31" s="8">
        <v>46113</v>
      </c>
      <c r="K31" s="8">
        <v>46203</v>
      </c>
      <c r="L31" s="8">
        <v>46113</v>
      </c>
      <c r="M31" s="8">
        <v>46203</v>
      </c>
      <c r="N31" s="28" t="s">
        <v>137</v>
      </c>
      <c r="O31" s="28" t="s">
        <v>137</v>
      </c>
      <c r="P31" s="28" t="s">
        <v>133</v>
      </c>
      <c r="Q31" s="28" t="s">
        <v>137</v>
      </c>
      <c r="R31" s="28" t="s">
        <v>132</v>
      </c>
      <c r="S31" s="28" t="s">
        <v>132</v>
      </c>
      <c r="T31" s="28" t="s">
        <v>132</v>
      </c>
      <c r="U31" s="28" t="s">
        <v>132</v>
      </c>
      <c r="V31" s="28" t="s">
        <v>132</v>
      </c>
      <c r="W31" s="28" t="s">
        <v>132</v>
      </c>
      <c r="X31" s="28" t="s">
        <v>134</v>
      </c>
      <c r="Y31" s="28" t="s">
        <v>135</v>
      </c>
      <c r="Z31" s="28" t="s">
        <v>135</v>
      </c>
      <c r="AA31" s="28" t="s">
        <v>135</v>
      </c>
      <c r="AB31" s="28" t="s">
        <v>135</v>
      </c>
      <c r="AC31" s="28" t="s">
        <v>135</v>
      </c>
      <c r="AD31" s="28" t="s">
        <v>135</v>
      </c>
      <c r="AE31" s="28" t="s">
        <v>177</v>
      </c>
      <c r="AF31" s="28" t="str">
        <f t="shared" si="4"/>
        <v/>
      </c>
      <c r="AG31" s="28" t="str">
        <f t="shared" si="5"/>
        <v>N</v>
      </c>
      <c r="AH31" s="28"/>
      <c r="AI31" s="28" t="s">
        <v>135</v>
      </c>
      <c r="AJ31" s="28"/>
      <c r="AK31" s="33">
        <f t="shared" si="1"/>
        <v>-80</v>
      </c>
      <c r="AL31" s="33">
        <f t="shared" si="2"/>
        <v>-80</v>
      </c>
      <c r="AM31" s="33">
        <f t="shared" si="3"/>
        <v>1</v>
      </c>
    </row>
    <row r="32" spans="1:39" x14ac:dyDescent="0.2">
      <c r="A32" s="7">
        <v>2025</v>
      </c>
      <c r="B32" s="28" t="str">
        <f t="shared" si="0"/>
        <v>MAR</v>
      </c>
      <c r="C32" s="31">
        <v>46084</v>
      </c>
      <c r="D32" s="31"/>
      <c r="E32" s="31">
        <v>46087</v>
      </c>
      <c r="F32" s="28" t="s">
        <v>226</v>
      </c>
      <c r="G32" s="24" t="s">
        <v>231</v>
      </c>
      <c r="H32" s="28" t="str">
        <f>UPPER(VLOOKUP(F32,Droplist!A:C,3,0))</f>
        <v>MARTIN SCHULZ</v>
      </c>
      <c r="I32" s="28" t="s">
        <v>179</v>
      </c>
      <c r="J32" s="8">
        <v>46113</v>
      </c>
      <c r="K32" s="8">
        <v>46203</v>
      </c>
      <c r="L32" s="8">
        <v>46113</v>
      </c>
      <c r="M32" s="8">
        <v>46203</v>
      </c>
      <c r="N32" s="28" t="s">
        <v>137</v>
      </c>
      <c r="O32" s="28" t="s">
        <v>132</v>
      </c>
      <c r="P32" s="28" t="s">
        <v>139</v>
      </c>
      <c r="Q32" s="28" t="s">
        <v>139</v>
      </c>
      <c r="R32" s="28" t="s">
        <v>132</v>
      </c>
      <c r="S32" s="28" t="s">
        <v>50</v>
      </c>
      <c r="T32" s="28" t="s">
        <v>132</v>
      </c>
      <c r="U32" s="28" t="s">
        <v>132</v>
      </c>
      <c r="V32" s="28" t="s">
        <v>132</v>
      </c>
      <c r="W32" s="28" t="s">
        <v>132</v>
      </c>
      <c r="X32" s="28" t="s">
        <v>135</v>
      </c>
      <c r="Y32" s="28" t="s">
        <v>134</v>
      </c>
      <c r="Z32" s="28" t="s">
        <v>135</v>
      </c>
      <c r="AA32" s="28" t="s">
        <v>135</v>
      </c>
      <c r="AB32" s="28" t="s">
        <v>135</v>
      </c>
      <c r="AC32" s="28" t="s">
        <v>135</v>
      </c>
      <c r="AD32" s="28" t="s">
        <v>135</v>
      </c>
      <c r="AE32" s="28" t="s">
        <v>201</v>
      </c>
      <c r="AF32" s="28" t="str">
        <f t="shared" si="4"/>
        <v/>
      </c>
      <c r="AG32" s="28" t="str">
        <f t="shared" si="5"/>
        <v>Y</v>
      </c>
      <c r="AH32" s="28" t="s">
        <v>232</v>
      </c>
      <c r="AI32" s="28" t="s">
        <v>135</v>
      </c>
      <c r="AJ32" s="28"/>
      <c r="AK32" s="33">
        <f t="shared" si="1"/>
        <v>-80</v>
      </c>
      <c r="AL32" s="33">
        <f t="shared" si="2"/>
        <v>-80</v>
      </c>
      <c r="AM32" s="33">
        <f t="shared" si="3"/>
        <v>1</v>
      </c>
    </row>
    <row r="33" spans="1:39" x14ac:dyDescent="0.2">
      <c r="A33" s="7">
        <v>2025</v>
      </c>
      <c r="B33" s="28" t="str">
        <f t="shared" si="0"/>
        <v>MAR</v>
      </c>
      <c r="C33" s="31">
        <v>46084</v>
      </c>
      <c r="D33" s="31"/>
      <c r="E33" s="31">
        <v>46085</v>
      </c>
      <c r="F33" s="28" t="s">
        <v>226</v>
      </c>
      <c r="G33" s="24" t="s">
        <v>233</v>
      </c>
      <c r="H33" s="28" t="str">
        <f>UPPER(VLOOKUP(F33,Droplist!A:C,3,0))</f>
        <v>MARTIN SCHULZ</v>
      </c>
      <c r="I33" s="28" t="s">
        <v>179</v>
      </c>
      <c r="J33" s="8">
        <v>46023</v>
      </c>
      <c r="K33" s="8">
        <v>46387</v>
      </c>
      <c r="L33" s="8">
        <v>46113</v>
      </c>
      <c r="M33" s="8">
        <v>46203</v>
      </c>
      <c r="N33" s="28" t="s">
        <v>137</v>
      </c>
      <c r="O33" s="28" t="s">
        <v>132</v>
      </c>
      <c r="P33" s="28" t="s">
        <v>137</v>
      </c>
      <c r="Q33" s="28" t="s">
        <v>139</v>
      </c>
      <c r="R33" s="28" t="s">
        <v>140</v>
      </c>
      <c r="S33" s="28" t="s">
        <v>50</v>
      </c>
      <c r="T33" s="28" t="s">
        <v>132</v>
      </c>
      <c r="U33" s="28" t="s">
        <v>132</v>
      </c>
      <c r="V33" s="28" t="s">
        <v>132</v>
      </c>
      <c r="W33" s="28" t="s">
        <v>132</v>
      </c>
      <c r="X33" s="28" t="s">
        <v>134</v>
      </c>
      <c r="Y33" s="28" t="s">
        <v>134</v>
      </c>
      <c r="Z33" s="28" t="s">
        <v>135</v>
      </c>
      <c r="AA33" s="28" t="s">
        <v>135</v>
      </c>
      <c r="AB33" s="28" t="s">
        <v>135</v>
      </c>
      <c r="AC33" s="28" t="s">
        <v>135</v>
      </c>
      <c r="AD33" s="28" t="s">
        <v>135</v>
      </c>
      <c r="AE33" s="28" t="s">
        <v>177</v>
      </c>
      <c r="AF33" s="28" t="str">
        <f t="shared" si="4"/>
        <v/>
      </c>
      <c r="AG33" s="28" t="str">
        <f t="shared" si="5"/>
        <v>N</v>
      </c>
      <c r="AH33" s="28"/>
      <c r="AI33" s="28" t="s">
        <v>135</v>
      </c>
      <c r="AJ33" s="28"/>
      <c r="AK33" s="33">
        <f t="shared" si="1"/>
        <v>-212</v>
      </c>
      <c r="AL33" s="33">
        <f t="shared" si="2"/>
        <v>-80</v>
      </c>
      <c r="AM33" s="33">
        <f t="shared" si="3"/>
        <v>1</v>
      </c>
    </row>
    <row r="34" spans="1:39" x14ac:dyDescent="0.2">
      <c r="A34" s="7">
        <v>2025</v>
      </c>
      <c r="B34" s="28" t="str">
        <f t="shared" si="0"/>
        <v>MAR</v>
      </c>
      <c r="C34" s="31">
        <v>46084</v>
      </c>
      <c r="D34" s="31"/>
      <c r="E34" s="31">
        <v>46090</v>
      </c>
      <c r="F34" s="28" t="s">
        <v>234</v>
      </c>
      <c r="G34" s="24" t="s">
        <v>235</v>
      </c>
      <c r="H34" s="28" t="str">
        <f>UPPER(VLOOKUP(F34,Droplist!A:C,3,0))</f>
        <v>CHRIS CROWDER</v>
      </c>
      <c r="I34" s="28" t="s">
        <v>179</v>
      </c>
      <c r="J34" s="8">
        <v>46113</v>
      </c>
      <c r="K34" s="8">
        <v>46203</v>
      </c>
      <c r="L34" s="8">
        <v>46113</v>
      </c>
      <c r="M34" s="8">
        <v>46203</v>
      </c>
      <c r="N34" s="28" t="s">
        <v>132</v>
      </c>
      <c r="O34" s="28" t="s">
        <v>137</v>
      </c>
      <c r="P34" s="28" t="s">
        <v>137</v>
      </c>
      <c r="Q34" s="28" t="s">
        <v>139</v>
      </c>
      <c r="R34" s="28" t="s">
        <v>140</v>
      </c>
      <c r="S34" s="28" t="s">
        <v>50</v>
      </c>
      <c r="T34" s="28" t="s">
        <v>132</v>
      </c>
      <c r="U34" s="28" t="s">
        <v>132</v>
      </c>
      <c r="V34" s="28" t="s">
        <v>132</v>
      </c>
      <c r="W34" s="28" t="s">
        <v>132</v>
      </c>
      <c r="X34" s="28" t="s">
        <v>134</v>
      </c>
      <c r="Y34" s="28" t="s">
        <v>135</v>
      </c>
      <c r="Z34" s="28" t="s">
        <v>135</v>
      </c>
      <c r="AA34" s="28" t="s">
        <v>135</v>
      </c>
      <c r="AB34" s="28" t="s">
        <v>135</v>
      </c>
      <c r="AC34" s="28" t="s">
        <v>135</v>
      </c>
      <c r="AD34" s="28" t="s">
        <v>135</v>
      </c>
      <c r="AE34" s="28" t="s">
        <v>201</v>
      </c>
      <c r="AF34" s="28" t="str">
        <f t="shared" si="4"/>
        <v/>
      </c>
      <c r="AG34" s="28" t="str">
        <f t="shared" si="5"/>
        <v>Y</v>
      </c>
      <c r="AH34" s="28" t="s">
        <v>232</v>
      </c>
      <c r="AI34" s="28" t="s">
        <v>135</v>
      </c>
      <c r="AJ34" s="28"/>
      <c r="AK34" s="33">
        <f t="shared" si="1"/>
        <v>-80</v>
      </c>
      <c r="AL34" s="33">
        <f t="shared" si="2"/>
        <v>-80</v>
      </c>
      <c r="AM34" s="33">
        <f t="shared" si="3"/>
        <v>1</v>
      </c>
    </row>
    <row r="35" spans="1:39" x14ac:dyDescent="0.2">
      <c r="A35" s="7">
        <v>2025</v>
      </c>
      <c r="B35" s="28" t="str">
        <f t="shared" si="0"/>
        <v>MAR</v>
      </c>
      <c r="C35" s="31">
        <v>46084</v>
      </c>
      <c r="D35" s="31"/>
      <c r="E35" s="31">
        <v>46090</v>
      </c>
      <c r="F35" s="28" t="s">
        <v>84</v>
      </c>
      <c r="G35" s="28" t="s">
        <v>198</v>
      </c>
      <c r="H35" s="28" t="str">
        <f>UPPER(VLOOKUP(F35,Droplist!A:C,3,0))</f>
        <v>MARTIN SCHULZ</v>
      </c>
      <c r="I35" s="28" t="s">
        <v>179</v>
      </c>
      <c r="J35" s="8">
        <v>46083</v>
      </c>
      <c r="K35" s="8">
        <v>46387</v>
      </c>
      <c r="L35" s="8">
        <v>46113</v>
      </c>
      <c r="M35" s="8">
        <v>46203</v>
      </c>
      <c r="N35" s="28" t="s">
        <v>132</v>
      </c>
      <c r="O35" s="28" t="s">
        <v>132</v>
      </c>
      <c r="P35" s="28" t="s">
        <v>133</v>
      </c>
      <c r="Q35" s="28" t="s">
        <v>139</v>
      </c>
      <c r="R35" s="28" t="s">
        <v>132</v>
      </c>
      <c r="S35" s="28" t="s">
        <v>132</v>
      </c>
      <c r="T35" s="28" t="s">
        <v>132</v>
      </c>
      <c r="U35" s="28" t="s">
        <v>132</v>
      </c>
      <c r="V35" s="28" t="s">
        <v>132</v>
      </c>
      <c r="W35" s="28" t="s">
        <v>132</v>
      </c>
      <c r="X35" s="28" t="s">
        <v>134</v>
      </c>
      <c r="Y35" s="28" t="s">
        <v>135</v>
      </c>
      <c r="Z35" s="28" t="s">
        <v>135</v>
      </c>
      <c r="AA35" s="28" t="s">
        <v>135</v>
      </c>
      <c r="AB35" s="28" t="s">
        <v>135</v>
      </c>
      <c r="AC35" s="28" t="s">
        <v>135</v>
      </c>
      <c r="AD35" s="28" t="s">
        <v>135</v>
      </c>
      <c r="AE35" s="28" t="s">
        <v>201</v>
      </c>
      <c r="AF35" s="28" t="str">
        <f t="shared" si="4"/>
        <v/>
      </c>
      <c r="AG35" s="28" t="str">
        <f t="shared" si="5"/>
        <v>Y</v>
      </c>
      <c r="AH35" s="28" t="s">
        <v>232</v>
      </c>
      <c r="AI35" s="28" t="s">
        <v>135</v>
      </c>
      <c r="AJ35" s="28"/>
      <c r="AK35" s="33">
        <f t="shared" si="1"/>
        <v>-212</v>
      </c>
      <c r="AL35" s="33">
        <f t="shared" si="2"/>
        <v>-80</v>
      </c>
      <c r="AM35" s="33">
        <f t="shared" ref="AM35:AM67" si="6">IFERROR(COUNTIFS($F$3:$F$1048576,F35,$G$3:$G$1048576,G35),"")</f>
        <v>3</v>
      </c>
    </row>
    <row r="36" spans="1:39" x14ac:dyDescent="0.2">
      <c r="A36" s="7">
        <v>2025</v>
      </c>
      <c r="B36" s="28" t="str">
        <f t="shared" si="0"/>
        <v>MAR</v>
      </c>
      <c r="C36" s="8">
        <v>46085</v>
      </c>
      <c r="D36" s="8"/>
      <c r="E36" s="8">
        <v>46087</v>
      </c>
      <c r="F36" s="28" t="s">
        <v>75</v>
      </c>
      <c r="G36" s="24" t="s">
        <v>236</v>
      </c>
      <c r="H36" s="28" t="str">
        <f>UPPER(VLOOKUP(F36,Droplist!A:C,3,0))</f>
        <v>MARTIN SCHULZ</v>
      </c>
      <c r="I36" s="28" t="s">
        <v>212</v>
      </c>
      <c r="J36" s="8">
        <v>46027</v>
      </c>
      <c r="K36" s="8">
        <v>46387</v>
      </c>
      <c r="L36" s="8">
        <v>46113</v>
      </c>
      <c r="M36" s="8">
        <v>46203</v>
      </c>
      <c r="N36" s="28" t="s">
        <v>132</v>
      </c>
      <c r="O36" s="28" t="s">
        <v>132</v>
      </c>
      <c r="P36" s="28" t="s">
        <v>133</v>
      </c>
      <c r="Q36" s="28" t="s">
        <v>139</v>
      </c>
      <c r="R36" s="28" t="s">
        <v>132</v>
      </c>
      <c r="S36" s="28" t="s">
        <v>132</v>
      </c>
      <c r="T36" s="28" t="s">
        <v>132</v>
      </c>
      <c r="U36" s="28" t="s">
        <v>132</v>
      </c>
      <c r="V36" s="28" t="s">
        <v>132</v>
      </c>
      <c r="W36" s="28" t="s">
        <v>132</v>
      </c>
      <c r="X36" s="28" t="s">
        <v>135</v>
      </c>
      <c r="Y36" s="28" t="s">
        <v>135</v>
      </c>
      <c r="Z36" s="28" t="s">
        <v>135</v>
      </c>
      <c r="AA36" s="28" t="s">
        <v>135</v>
      </c>
      <c r="AB36" s="28" t="s">
        <v>135</v>
      </c>
      <c r="AC36" s="28" t="s">
        <v>134</v>
      </c>
      <c r="AD36" s="28" t="s">
        <v>135</v>
      </c>
      <c r="AE36" s="28" t="s">
        <v>201</v>
      </c>
      <c r="AF36" s="28" t="str">
        <f t="shared" si="4"/>
        <v/>
      </c>
      <c r="AG36" s="28" t="str">
        <f t="shared" si="5"/>
        <v>Y</v>
      </c>
      <c r="AH36" s="28" t="s">
        <v>232</v>
      </c>
      <c r="AI36" s="28" t="s">
        <v>135</v>
      </c>
      <c r="AJ36" s="28"/>
      <c r="AK36" s="33">
        <f t="shared" si="1"/>
        <v>-212</v>
      </c>
      <c r="AL36" s="33">
        <f t="shared" si="2"/>
        <v>-80</v>
      </c>
      <c r="AM36" s="33">
        <f t="shared" si="6"/>
        <v>1</v>
      </c>
    </row>
    <row r="37" spans="1:39" x14ac:dyDescent="0.2">
      <c r="A37" s="7">
        <v>2025</v>
      </c>
      <c r="B37" s="28" t="str">
        <f t="shared" si="0"/>
        <v>MAR</v>
      </c>
      <c r="C37" s="31">
        <v>46085</v>
      </c>
      <c r="D37" s="31"/>
      <c r="E37" s="31">
        <v>46087</v>
      </c>
      <c r="F37" s="28" t="s">
        <v>97</v>
      </c>
      <c r="G37" s="28" t="s">
        <v>237</v>
      </c>
      <c r="H37" s="28" t="str">
        <f>UPPER(VLOOKUP(F37,Droplist!A:C,3,0))</f>
        <v>JAKOB BLUHME / TOM HINE</v>
      </c>
      <c r="I37" s="28" t="s">
        <v>181</v>
      </c>
      <c r="J37" s="8">
        <v>46094</v>
      </c>
      <c r="K37" s="8">
        <v>46387</v>
      </c>
      <c r="L37" s="8">
        <v>46094</v>
      </c>
      <c r="M37" s="8">
        <v>46203</v>
      </c>
      <c r="N37" s="28" t="s">
        <v>132</v>
      </c>
      <c r="O37" s="28" t="s">
        <v>132</v>
      </c>
      <c r="P37" s="28" t="s">
        <v>137</v>
      </c>
      <c r="Q37" s="28" t="s">
        <v>139</v>
      </c>
      <c r="R37" s="28" t="s">
        <v>132</v>
      </c>
      <c r="S37" s="28" t="s">
        <v>132</v>
      </c>
      <c r="T37" s="28" t="s">
        <v>132</v>
      </c>
      <c r="U37" s="28" t="s">
        <v>132</v>
      </c>
      <c r="V37" s="28" t="s">
        <v>132</v>
      </c>
      <c r="W37" s="28" t="s">
        <v>132</v>
      </c>
      <c r="X37" s="28" t="s">
        <v>134</v>
      </c>
      <c r="Y37" s="28" t="s">
        <v>134</v>
      </c>
      <c r="Z37" s="28" t="s">
        <v>135</v>
      </c>
      <c r="AA37" s="28" t="s">
        <v>135</v>
      </c>
      <c r="AB37" s="28" t="s">
        <v>135</v>
      </c>
      <c r="AC37" s="28" t="s">
        <v>134</v>
      </c>
      <c r="AD37" s="28" t="s">
        <v>135</v>
      </c>
      <c r="AE37" s="28" t="s">
        <v>177</v>
      </c>
      <c r="AF37" s="28" t="str">
        <f t="shared" si="4"/>
        <v/>
      </c>
      <c r="AG37" s="28" t="str">
        <f t="shared" si="5"/>
        <v>Y</v>
      </c>
      <c r="AH37" s="28" t="s">
        <v>197</v>
      </c>
      <c r="AI37" s="28" t="s">
        <v>135</v>
      </c>
      <c r="AJ37" s="28"/>
      <c r="AK37" s="33">
        <f t="shared" si="1"/>
        <v>-212</v>
      </c>
      <c r="AL37" s="33">
        <f t="shared" si="2"/>
        <v>-80</v>
      </c>
      <c r="AM37" s="33">
        <f t="shared" si="6"/>
        <v>1</v>
      </c>
    </row>
    <row r="38" spans="1:39" x14ac:dyDescent="0.2">
      <c r="A38" s="7">
        <v>2025</v>
      </c>
      <c r="B38" s="28" t="str">
        <f t="shared" si="0"/>
        <v>MAR</v>
      </c>
      <c r="C38" s="31">
        <v>46084</v>
      </c>
      <c r="D38" s="31"/>
      <c r="E38" s="31">
        <v>46090</v>
      </c>
      <c r="F38" s="28" t="s">
        <v>84</v>
      </c>
      <c r="G38" s="24" t="s">
        <v>238</v>
      </c>
      <c r="H38" s="28" t="str">
        <f>UPPER(VLOOKUP(F38,Droplist!A:C,3,0))</f>
        <v>MARTIN SCHULZ</v>
      </c>
      <c r="I38" s="28" t="s">
        <v>179</v>
      </c>
      <c r="J38" s="8">
        <v>46023</v>
      </c>
      <c r="K38" s="8">
        <v>46387</v>
      </c>
      <c r="L38" s="8">
        <v>46113</v>
      </c>
      <c r="M38" s="8">
        <v>46203</v>
      </c>
      <c r="N38" s="28" t="s">
        <v>132</v>
      </c>
      <c r="O38" s="28" t="s">
        <v>132</v>
      </c>
      <c r="P38" s="28" t="s">
        <v>133</v>
      </c>
      <c r="Q38" s="28" t="s">
        <v>139</v>
      </c>
      <c r="R38" s="28" t="s">
        <v>132</v>
      </c>
      <c r="S38" s="28" t="s">
        <v>132</v>
      </c>
      <c r="T38" s="28" t="s">
        <v>132</v>
      </c>
      <c r="U38" s="28" t="s">
        <v>132</v>
      </c>
      <c r="V38" s="28" t="s">
        <v>132</v>
      </c>
      <c r="W38" s="28" t="s">
        <v>132</v>
      </c>
      <c r="X38" s="28" t="s">
        <v>134</v>
      </c>
      <c r="Y38" s="28" t="s">
        <v>135</v>
      </c>
      <c r="Z38" s="28" t="s">
        <v>135</v>
      </c>
      <c r="AA38" s="28" t="s">
        <v>135</v>
      </c>
      <c r="AB38" s="28" t="s">
        <v>135</v>
      </c>
      <c r="AC38" s="28" t="s">
        <v>135</v>
      </c>
      <c r="AD38" s="28" t="s">
        <v>135</v>
      </c>
      <c r="AE38" s="28" t="s">
        <v>201</v>
      </c>
      <c r="AF38" s="28" t="str">
        <f t="shared" si="4"/>
        <v/>
      </c>
      <c r="AG38" s="28" t="str">
        <f t="shared" si="5"/>
        <v>Y</v>
      </c>
      <c r="AH38" s="28" t="s">
        <v>232</v>
      </c>
      <c r="AI38" s="28" t="s">
        <v>135</v>
      </c>
      <c r="AJ38" s="28"/>
      <c r="AK38" s="33">
        <f t="shared" si="1"/>
        <v>-212</v>
      </c>
      <c r="AL38" s="33">
        <f t="shared" si="2"/>
        <v>-80</v>
      </c>
      <c r="AM38" s="33">
        <f t="shared" si="6"/>
        <v>1</v>
      </c>
    </row>
    <row r="39" spans="1:39" x14ac:dyDescent="0.2">
      <c r="A39" s="7">
        <v>2025</v>
      </c>
      <c r="B39" s="28" t="str">
        <f t="shared" ref="B39:B45" si="7">UPPER(TEXT(C39,"MMM"))</f>
        <v>MAR</v>
      </c>
      <c r="C39" s="31">
        <v>46087</v>
      </c>
      <c r="D39" s="31"/>
      <c r="E39" s="31" t="s">
        <v>60</v>
      </c>
      <c r="F39" s="28" t="s">
        <v>45</v>
      </c>
      <c r="G39" s="24" t="s">
        <v>239</v>
      </c>
      <c r="H39" s="28" t="str">
        <f>UPPER(VLOOKUP(F39,Droplist!A:C,3,0))</f>
        <v>DENNIS FRANKOWSKI</v>
      </c>
      <c r="I39" s="28" t="s">
        <v>205</v>
      </c>
      <c r="J39" s="8">
        <v>46113</v>
      </c>
      <c r="K39" s="8">
        <v>46387</v>
      </c>
      <c r="L39" s="8">
        <v>46113</v>
      </c>
      <c r="M39" s="8">
        <v>46387</v>
      </c>
      <c r="N39" s="28" t="s">
        <v>137</v>
      </c>
      <c r="O39" s="28" t="s">
        <v>139</v>
      </c>
      <c r="P39" s="28" t="s">
        <v>139</v>
      </c>
      <c r="Q39" s="28" t="s">
        <v>139</v>
      </c>
      <c r="R39" s="28" t="s">
        <v>132</v>
      </c>
      <c r="S39" s="28" t="s">
        <v>44</v>
      </c>
      <c r="T39" s="28" t="s">
        <v>44</v>
      </c>
      <c r="U39" s="28" t="s">
        <v>44</v>
      </c>
      <c r="V39" s="28" t="s">
        <v>44</v>
      </c>
      <c r="W39" s="28" t="s">
        <v>139</v>
      </c>
      <c r="X39" s="28" t="s">
        <v>135</v>
      </c>
      <c r="Y39" s="28" t="s">
        <v>135</v>
      </c>
      <c r="Z39" s="28" t="s">
        <v>135</v>
      </c>
      <c r="AA39" s="28" t="s">
        <v>135</v>
      </c>
      <c r="AB39" s="28" t="s">
        <v>135</v>
      </c>
      <c r="AC39" s="28" t="s">
        <v>135</v>
      </c>
      <c r="AD39" s="28" t="s">
        <v>134</v>
      </c>
      <c r="AE39" s="28" t="s">
        <v>60</v>
      </c>
      <c r="AF39" s="28" t="str">
        <f t="shared" si="4"/>
        <v>N</v>
      </c>
      <c r="AG39" s="28" t="str">
        <f t="shared" si="5"/>
        <v>N</v>
      </c>
      <c r="AH39" s="28"/>
      <c r="AI39" s="28" t="s">
        <v>135</v>
      </c>
      <c r="AJ39" s="28"/>
      <c r="AK39" s="33">
        <f t="shared" si="1"/>
        <v>-212</v>
      </c>
      <c r="AL39" s="33">
        <f t="shared" si="2"/>
        <v>-212</v>
      </c>
      <c r="AM39" s="33">
        <f t="shared" si="6"/>
        <v>1</v>
      </c>
    </row>
    <row r="40" spans="1:39" x14ac:dyDescent="0.2">
      <c r="A40" s="7">
        <v>2025</v>
      </c>
      <c r="B40" s="28" t="str">
        <f t="shared" si="7"/>
        <v>MAR</v>
      </c>
      <c r="C40" s="8">
        <v>46091</v>
      </c>
      <c r="D40" s="8"/>
      <c r="E40" s="8">
        <v>46092</v>
      </c>
      <c r="F40" s="28" t="s">
        <v>72</v>
      </c>
      <c r="G40" s="24" t="s">
        <v>240</v>
      </c>
      <c r="H40" s="28" t="str">
        <f>UPPER(VLOOKUP(F40,Droplist!A:C,3,0))</f>
        <v>JENS POTTSCHUL</v>
      </c>
      <c r="I40" s="28" t="s">
        <v>225</v>
      </c>
      <c r="J40" s="8">
        <v>46023</v>
      </c>
      <c r="K40" s="8">
        <v>46387</v>
      </c>
      <c r="L40" s="8">
        <v>46113</v>
      </c>
      <c r="M40" s="8">
        <v>46203</v>
      </c>
      <c r="N40" s="28" t="s">
        <v>132</v>
      </c>
      <c r="O40" s="28" t="s">
        <v>132</v>
      </c>
      <c r="P40" s="28" t="s">
        <v>139</v>
      </c>
      <c r="Q40" s="28" t="s">
        <v>139</v>
      </c>
      <c r="R40" s="28" t="s">
        <v>132</v>
      </c>
      <c r="S40" s="28" t="s">
        <v>132</v>
      </c>
      <c r="T40" s="28" t="s">
        <v>44</v>
      </c>
      <c r="U40" s="28" t="s">
        <v>44</v>
      </c>
      <c r="V40" s="28" t="s">
        <v>44</v>
      </c>
      <c r="W40" s="28" t="s">
        <v>132</v>
      </c>
      <c r="X40" s="28" t="s">
        <v>135</v>
      </c>
      <c r="Y40" s="28" t="s">
        <v>135</v>
      </c>
      <c r="Z40" s="28" t="s">
        <v>135</v>
      </c>
      <c r="AA40" s="28" t="s">
        <v>135</v>
      </c>
      <c r="AB40" s="28" t="s">
        <v>135</v>
      </c>
      <c r="AC40" s="28" t="s">
        <v>135</v>
      </c>
      <c r="AD40" s="28" t="s">
        <v>135</v>
      </c>
      <c r="AE40" s="28" t="s">
        <v>201</v>
      </c>
      <c r="AF40" s="28" t="str">
        <f t="shared" si="4"/>
        <v/>
      </c>
      <c r="AG40" s="28" t="str">
        <f t="shared" si="5"/>
        <v>N</v>
      </c>
      <c r="AH40" s="28"/>
      <c r="AI40" s="28" t="s">
        <v>135</v>
      </c>
      <c r="AJ40" s="28"/>
      <c r="AK40" s="33">
        <f t="shared" si="1"/>
        <v>-212</v>
      </c>
      <c r="AL40" s="33">
        <f t="shared" si="2"/>
        <v>-80</v>
      </c>
      <c r="AM40" s="33">
        <f t="shared" si="6"/>
        <v>1</v>
      </c>
    </row>
    <row r="41" spans="1:39" x14ac:dyDescent="0.2">
      <c r="A41" s="7">
        <v>2025</v>
      </c>
      <c r="B41" s="28" t="str">
        <f t="shared" si="7"/>
        <v>MAR</v>
      </c>
      <c r="C41" s="8">
        <v>46091</v>
      </c>
      <c r="D41" s="8"/>
      <c r="E41" s="8">
        <v>46092</v>
      </c>
      <c r="F41" s="28" t="s">
        <v>234</v>
      </c>
      <c r="G41" s="24" t="s">
        <v>241</v>
      </c>
      <c r="H41" s="28" t="str">
        <f>UPPER(VLOOKUP(F41,Droplist!A:C,3,0))</f>
        <v>CHRIS CROWDER</v>
      </c>
      <c r="I41" s="28" t="s">
        <v>216</v>
      </c>
      <c r="J41" s="8">
        <v>46023</v>
      </c>
      <c r="K41" s="8">
        <v>46203</v>
      </c>
      <c r="L41" s="8">
        <v>46113</v>
      </c>
      <c r="M41" s="8">
        <v>46203</v>
      </c>
      <c r="N41" s="28" t="s">
        <v>139</v>
      </c>
      <c r="O41" s="28" t="s">
        <v>139</v>
      </c>
      <c r="P41" s="28" t="s">
        <v>137</v>
      </c>
      <c r="Q41" s="28" t="s">
        <v>139</v>
      </c>
      <c r="R41" s="28" t="s">
        <v>140</v>
      </c>
      <c r="S41" s="28" t="s">
        <v>50</v>
      </c>
      <c r="T41" s="28" t="s">
        <v>44</v>
      </c>
      <c r="U41" s="28" t="s">
        <v>44</v>
      </c>
      <c r="V41" s="28" t="s">
        <v>44</v>
      </c>
      <c r="W41" s="28" t="s">
        <v>132</v>
      </c>
      <c r="X41" s="28" t="s">
        <v>135</v>
      </c>
      <c r="Y41" s="28" t="s">
        <v>135</v>
      </c>
      <c r="Z41" s="28" t="s">
        <v>135</v>
      </c>
      <c r="AA41" s="28" t="s">
        <v>135</v>
      </c>
      <c r="AB41" s="28" t="s">
        <v>135</v>
      </c>
      <c r="AC41" s="28" t="s">
        <v>134</v>
      </c>
      <c r="AD41" s="28" t="s">
        <v>135</v>
      </c>
      <c r="AE41" s="28" t="s">
        <v>201</v>
      </c>
      <c r="AF41" s="28" t="str">
        <f t="shared" si="4"/>
        <v/>
      </c>
      <c r="AG41" s="28" t="str">
        <f t="shared" si="5"/>
        <v>N</v>
      </c>
      <c r="AH41" s="28"/>
      <c r="AI41" s="28" t="s">
        <v>135</v>
      </c>
      <c r="AJ41" s="28"/>
      <c r="AK41" s="33">
        <f t="shared" si="1"/>
        <v>-80</v>
      </c>
      <c r="AL41" s="33">
        <f t="shared" si="2"/>
        <v>-80</v>
      </c>
      <c r="AM41" s="33">
        <f t="shared" si="6"/>
        <v>1</v>
      </c>
    </row>
    <row r="42" spans="1:39" x14ac:dyDescent="0.2">
      <c r="A42" s="7">
        <v>2025</v>
      </c>
      <c r="B42" s="28" t="str">
        <f t="shared" si="7"/>
        <v>MAR</v>
      </c>
      <c r="C42" s="8">
        <v>46091</v>
      </c>
      <c r="D42" s="8"/>
      <c r="E42" s="8">
        <v>46092</v>
      </c>
      <c r="F42" s="28" t="s">
        <v>80</v>
      </c>
      <c r="G42" s="24" t="s">
        <v>242</v>
      </c>
      <c r="H42" s="28" t="str">
        <f>UPPER(VLOOKUP(F42,Droplist!A:C,3,0))</f>
        <v>JENS POTTSCHUL</v>
      </c>
      <c r="I42" s="28" t="s">
        <v>225</v>
      </c>
      <c r="J42" s="8">
        <v>46023</v>
      </c>
      <c r="K42" s="8">
        <v>46387</v>
      </c>
      <c r="L42" s="8">
        <v>46113</v>
      </c>
      <c r="M42" s="8">
        <v>46203</v>
      </c>
      <c r="N42" s="28" t="s">
        <v>132</v>
      </c>
      <c r="O42" s="28" t="s">
        <v>132</v>
      </c>
      <c r="P42" s="28" t="s">
        <v>133</v>
      </c>
      <c r="Q42" s="28" t="s">
        <v>141</v>
      </c>
      <c r="R42" s="28" t="s">
        <v>140</v>
      </c>
      <c r="S42" s="28" t="s">
        <v>50</v>
      </c>
      <c r="T42" s="28" t="s">
        <v>132</v>
      </c>
      <c r="U42" s="28" t="s">
        <v>132</v>
      </c>
      <c r="V42" s="28" t="s">
        <v>132</v>
      </c>
      <c r="W42" s="28" t="s">
        <v>132</v>
      </c>
      <c r="X42" s="28" t="s">
        <v>135</v>
      </c>
      <c r="Y42" s="28" t="s">
        <v>135</v>
      </c>
      <c r="Z42" s="28" t="s">
        <v>135</v>
      </c>
      <c r="AA42" s="28" t="s">
        <v>135</v>
      </c>
      <c r="AB42" s="28" t="s">
        <v>135</v>
      </c>
      <c r="AC42" s="28" t="s">
        <v>135</v>
      </c>
      <c r="AD42" s="28" t="s">
        <v>135</v>
      </c>
      <c r="AE42" s="28" t="s">
        <v>201</v>
      </c>
      <c r="AF42" s="28" t="str">
        <f t="shared" si="4"/>
        <v/>
      </c>
      <c r="AG42" s="28" t="str">
        <f t="shared" si="5"/>
        <v>N</v>
      </c>
      <c r="AH42" s="28"/>
      <c r="AI42" s="28" t="s">
        <v>135</v>
      </c>
      <c r="AJ42" s="28"/>
      <c r="AK42" s="33">
        <f t="shared" si="1"/>
        <v>-212</v>
      </c>
      <c r="AL42" s="33">
        <f t="shared" si="2"/>
        <v>-80</v>
      </c>
      <c r="AM42" s="33">
        <f t="shared" si="6"/>
        <v>1</v>
      </c>
    </row>
    <row r="43" spans="1:39" x14ac:dyDescent="0.2">
      <c r="A43" s="7">
        <v>2025</v>
      </c>
      <c r="B43" s="28" t="str">
        <f t="shared" si="7"/>
        <v>MAR</v>
      </c>
      <c r="C43" s="31">
        <v>46091</v>
      </c>
      <c r="D43" s="31"/>
      <c r="E43" s="31" t="s">
        <v>60</v>
      </c>
      <c r="F43" s="28" t="s">
        <v>45</v>
      </c>
      <c r="G43" s="24" t="s">
        <v>243</v>
      </c>
      <c r="H43" s="28" t="str">
        <f>UPPER(VLOOKUP(F43,Droplist!A:C,3,0))</f>
        <v>DENNIS FRANKOWSKI</v>
      </c>
      <c r="I43" s="28" t="s">
        <v>205</v>
      </c>
      <c r="J43" s="8">
        <v>46023</v>
      </c>
      <c r="K43" s="8">
        <v>46387</v>
      </c>
      <c r="L43" s="8">
        <v>46023</v>
      </c>
      <c r="M43" s="8">
        <v>46387</v>
      </c>
      <c r="N43" s="28" t="s">
        <v>132</v>
      </c>
      <c r="O43" s="28" t="s">
        <v>132</v>
      </c>
      <c r="P43" s="28" t="s">
        <v>133</v>
      </c>
      <c r="Q43" s="28" t="s">
        <v>139</v>
      </c>
      <c r="R43" s="28" t="s">
        <v>132</v>
      </c>
      <c r="S43" s="28" t="s">
        <v>44</v>
      </c>
      <c r="T43" s="28" t="s">
        <v>44</v>
      </c>
      <c r="U43" s="28" t="s">
        <v>44</v>
      </c>
      <c r="V43" s="28" t="s">
        <v>44</v>
      </c>
      <c r="W43" s="28" t="s">
        <v>44</v>
      </c>
      <c r="X43" s="28" t="s">
        <v>135</v>
      </c>
      <c r="Y43" s="28" t="s">
        <v>135</v>
      </c>
      <c r="Z43" s="28" t="s">
        <v>135</v>
      </c>
      <c r="AA43" s="28" t="s">
        <v>135</v>
      </c>
      <c r="AB43" s="28" t="s">
        <v>135</v>
      </c>
      <c r="AC43" s="28" t="s">
        <v>134</v>
      </c>
      <c r="AD43" s="28" t="s">
        <v>134</v>
      </c>
      <c r="AE43" s="28" t="s">
        <v>60</v>
      </c>
      <c r="AF43" s="28" t="str">
        <f t="shared" si="4"/>
        <v>N</v>
      </c>
      <c r="AG43" s="28" t="str">
        <f t="shared" si="5"/>
        <v>N</v>
      </c>
      <c r="AH43" s="28"/>
      <c r="AI43" s="28" t="s">
        <v>135</v>
      </c>
      <c r="AJ43" s="28"/>
      <c r="AK43" s="33">
        <f t="shared" si="1"/>
        <v>-212</v>
      </c>
      <c r="AL43" s="33">
        <f t="shared" si="2"/>
        <v>-212</v>
      </c>
      <c r="AM43" s="33">
        <f t="shared" si="6"/>
        <v>1</v>
      </c>
    </row>
    <row r="44" spans="1:39" x14ac:dyDescent="0.2">
      <c r="A44" s="77">
        <v>2025</v>
      </c>
      <c r="B44" s="73" t="str">
        <f t="shared" si="7"/>
        <v>MAR</v>
      </c>
      <c r="C44" s="74">
        <v>46092</v>
      </c>
      <c r="D44" s="74"/>
      <c r="E44" s="74" t="s">
        <v>60</v>
      </c>
      <c r="F44" s="73" t="s">
        <v>729</v>
      </c>
      <c r="G44" s="73" t="s">
        <v>208</v>
      </c>
      <c r="H44" s="73" t="str">
        <f>UPPER(VLOOKUP(F44,Droplist!A:C,3,0))</f>
        <v>ROATHA LY</v>
      </c>
      <c r="I44" s="73" t="s">
        <v>1239</v>
      </c>
      <c r="J44" s="74">
        <v>46113</v>
      </c>
      <c r="K44" s="74">
        <v>46387</v>
      </c>
      <c r="L44" s="74">
        <v>46113</v>
      </c>
      <c r="M44" s="74">
        <v>46203</v>
      </c>
      <c r="N44" s="73" t="s">
        <v>132</v>
      </c>
      <c r="O44" s="73" t="s">
        <v>132</v>
      </c>
      <c r="P44" s="73" t="s">
        <v>133</v>
      </c>
      <c r="Q44" s="73" t="s">
        <v>139</v>
      </c>
      <c r="R44" s="73" t="s">
        <v>132</v>
      </c>
      <c r="S44" s="73" t="s">
        <v>132</v>
      </c>
      <c r="T44" s="73" t="s">
        <v>132</v>
      </c>
      <c r="U44" s="73" t="s">
        <v>132</v>
      </c>
      <c r="V44" s="73" t="s">
        <v>132</v>
      </c>
      <c r="W44" s="73" t="s">
        <v>132</v>
      </c>
      <c r="X44" s="73" t="s">
        <v>135</v>
      </c>
      <c r="Y44" s="73" t="s">
        <v>135</v>
      </c>
      <c r="Z44" s="73" t="s">
        <v>135</v>
      </c>
      <c r="AA44" s="73" t="s">
        <v>135</v>
      </c>
      <c r="AB44" s="73" t="s">
        <v>135</v>
      </c>
      <c r="AC44" s="73" t="s">
        <v>135</v>
      </c>
      <c r="AD44" s="73" t="s">
        <v>134</v>
      </c>
      <c r="AE44" s="73" t="s">
        <v>60</v>
      </c>
      <c r="AF44" s="73" t="s">
        <v>135</v>
      </c>
      <c r="AG44" s="73" t="str">
        <f t="shared" si="5"/>
        <v>N</v>
      </c>
      <c r="AH44" s="73"/>
      <c r="AI44" s="73" t="s">
        <v>135</v>
      </c>
      <c r="AJ44" s="73"/>
      <c r="AK44" s="75">
        <f>IFERROR(NETWORKDAYS(K44,$AM$1),"-")</f>
        <v>-212</v>
      </c>
      <c r="AL44" s="75">
        <f>IFERROR(NETWORKDAYS(M44,$AM$1),"-")</f>
        <v>-80</v>
      </c>
      <c r="AM44" s="33">
        <f t="shared" si="6"/>
        <v>1</v>
      </c>
    </row>
    <row r="45" spans="1:39" x14ac:dyDescent="0.2">
      <c r="A45" s="7">
        <v>2025</v>
      </c>
      <c r="B45" s="28" t="str">
        <f t="shared" si="7"/>
        <v>MAR</v>
      </c>
      <c r="C45" s="31">
        <v>46092</v>
      </c>
      <c r="D45" s="8"/>
      <c r="E45" s="8">
        <v>46093</v>
      </c>
      <c r="F45" s="28" t="s">
        <v>567</v>
      </c>
      <c r="G45" s="28" t="s">
        <v>180</v>
      </c>
      <c r="H45" s="28" t="str">
        <f>UPPER(VLOOKUP(F45,Droplist!A:C,3,0))</f>
        <v>SUSANNE ELSBORG-JENSEN</v>
      </c>
      <c r="I45" s="28" t="s">
        <v>216</v>
      </c>
      <c r="J45" s="8">
        <v>46113</v>
      </c>
      <c r="K45" s="8">
        <v>46203</v>
      </c>
      <c r="L45" s="8">
        <v>46113</v>
      </c>
      <c r="M45" s="8">
        <v>46203</v>
      </c>
      <c r="N45" s="28" t="s">
        <v>132</v>
      </c>
      <c r="O45" s="28" t="s">
        <v>132</v>
      </c>
      <c r="P45" s="28" t="s">
        <v>133</v>
      </c>
      <c r="Q45" s="28" t="s">
        <v>139</v>
      </c>
      <c r="R45" s="28" t="s">
        <v>132</v>
      </c>
      <c r="S45" s="28" t="s">
        <v>132</v>
      </c>
      <c r="T45" s="28" t="s">
        <v>132</v>
      </c>
      <c r="U45" s="28" t="s">
        <v>132</v>
      </c>
      <c r="V45" s="28" t="s">
        <v>132</v>
      </c>
      <c r="W45" s="28" t="s">
        <v>132</v>
      </c>
      <c r="X45" s="28" t="s">
        <v>135</v>
      </c>
      <c r="Y45" s="28" t="s">
        <v>134</v>
      </c>
      <c r="Z45" s="28" t="s">
        <v>135</v>
      </c>
      <c r="AA45" s="28" t="s">
        <v>135</v>
      </c>
      <c r="AB45" s="28" t="s">
        <v>135</v>
      </c>
      <c r="AC45" s="28" t="s">
        <v>135</v>
      </c>
      <c r="AD45" s="28" t="s">
        <v>135</v>
      </c>
      <c r="AE45" s="28" t="s">
        <v>177</v>
      </c>
      <c r="AF45" s="28" t="s">
        <v>135</v>
      </c>
      <c r="AG45" s="28" t="str">
        <f t="shared" si="5"/>
        <v>N</v>
      </c>
      <c r="AH45" s="28"/>
      <c r="AI45" s="28" t="s">
        <v>135</v>
      </c>
      <c r="AJ45" s="28"/>
      <c r="AK45" s="33">
        <f>IFERROR(NETWORKDAYS(K45,$AM$1),"-")</f>
        <v>-80</v>
      </c>
      <c r="AL45" s="33">
        <f>IFERROR(NETWORKDAYS(M45,$AM$1),"-")</f>
        <v>-80</v>
      </c>
      <c r="AM45" s="33">
        <f t="shared" si="6"/>
        <v>1</v>
      </c>
    </row>
    <row r="46" spans="1:39" x14ac:dyDescent="0.2">
      <c r="A46" s="7">
        <v>2025</v>
      </c>
      <c r="B46" s="28" t="str">
        <f t="shared" ref="B46:B65" si="8">UPPER(TEXT(C46,"MMM"))</f>
        <v>MAR</v>
      </c>
      <c r="C46" s="31">
        <v>46093</v>
      </c>
      <c r="D46" s="8"/>
      <c r="E46" s="8">
        <v>46093</v>
      </c>
      <c r="F46" s="28" t="s">
        <v>25</v>
      </c>
      <c r="G46" s="28" t="s">
        <v>490</v>
      </c>
      <c r="H46" s="28" t="str">
        <f>UPPER(VLOOKUP(F46,Droplist!A:C,3,0))</f>
        <v>PETER ANDERSEN</v>
      </c>
      <c r="I46" s="28" t="s">
        <v>1240</v>
      </c>
      <c r="J46" s="8">
        <v>46113</v>
      </c>
      <c r="K46" s="8">
        <v>46387</v>
      </c>
      <c r="L46" s="8">
        <v>46113</v>
      </c>
      <c r="M46" s="8">
        <v>46203</v>
      </c>
      <c r="N46" s="28" t="s">
        <v>132</v>
      </c>
      <c r="O46" s="28" t="s">
        <v>132</v>
      </c>
      <c r="P46" s="28" t="s">
        <v>137</v>
      </c>
      <c r="Q46" s="28" t="s">
        <v>139</v>
      </c>
      <c r="R46" s="28" t="s">
        <v>132</v>
      </c>
      <c r="S46" s="28" t="s">
        <v>132</v>
      </c>
      <c r="T46" s="28" t="s">
        <v>132</v>
      </c>
      <c r="U46" s="28" t="s">
        <v>132</v>
      </c>
      <c r="V46" s="28" t="s">
        <v>132</v>
      </c>
      <c r="W46" s="28" t="s">
        <v>132</v>
      </c>
      <c r="X46" s="28" t="s">
        <v>135</v>
      </c>
      <c r="Y46" s="28" t="s">
        <v>134</v>
      </c>
      <c r="Z46" s="28" t="s">
        <v>135</v>
      </c>
      <c r="AA46" s="28" t="s">
        <v>135</v>
      </c>
      <c r="AB46" s="28" t="s">
        <v>135</v>
      </c>
      <c r="AC46" s="28" t="s">
        <v>135</v>
      </c>
      <c r="AD46" s="28" t="s">
        <v>135</v>
      </c>
      <c r="AE46" s="28" t="s">
        <v>177</v>
      </c>
      <c r="AF46" s="28" t="s">
        <v>135</v>
      </c>
      <c r="AG46" s="28" t="str">
        <f t="shared" ref="AG46" si="9">IFERROR(IF(NETWORKDAYS(C46+1,E46)&gt;=2,"Y","N"),"N")</f>
        <v>N</v>
      </c>
      <c r="AH46" s="28"/>
      <c r="AI46" s="28" t="s">
        <v>135</v>
      </c>
      <c r="AJ46" s="28"/>
      <c r="AK46" s="33">
        <f>IFERROR(NETWORKDAYS(K46,$AM$1),"-")</f>
        <v>-212</v>
      </c>
      <c r="AL46" s="33">
        <f>IFERROR(NETWORKDAYS(M46,$AM$1),"-")</f>
        <v>-80</v>
      </c>
      <c r="AM46" s="33">
        <f t="shared" si="6"/>
        <v>1</v>
      </c>
    </row>
    <row r="47" spans="1:39" x14ac:dyDescent="0.2">
      <c r="A47" s="7">
        <v>2025</v>
      </c>
      <c r="B47" s="28" t="str">
        <f t="shared" si="8"/>
        <v>MAR</v>
      </c>
      <c r="C47" s="31">
        <v>46093</v>
      </c>
      <c r="D47" s="8"/>
      <c r="E47" s="8">
        <v>46093</v>
      </c>
      <c r="F47" s="28" t="s">
        <v>75</v>
      </c>
      <c r="G47" s="28" t="s">
        <v>719</v>
      </c>
      <c r="H47" s="28" t="str">
        <f>UPPER(VLOOKUP(F47,Droplist!A:C,3,0))</f>
        <v>MARTIN SCHULZ</v>
      </c>
      <c r="I47" s="28" t="s">
        <v>212</v>
      </c>
      <c r="J47" s="8">
        <v>46055</v>
      </c>
      <c r="K47" s="8">
        <v>46387</v>
      </c>
      <c r="L47" s="8">
        <v>46113</v>
      </c>
      <c r="M47" s="8">
        <v>46203</v>
      </c>
      <c r="N47" s="29" t="s">
        <v>137</v>
      </c>
      <c r="O47" s="29" t="s">
        <v>137</v>
      </c>
      <c r="P47" s="28" t="s">
        <v>137</v>
      </c>
      <c r="Q47" s="28" t="s">
        <v>139</v>
      </c>
      <c r="R47" s="28" t="s">
        <v>140</v>
      </c>
      <c r="S47" s="28" t="s">
        <v>50</v>
      </c>
      <c r="T47" s="28" t="s">
        <v>50</v>
      </c>
      <c r="U47" s="28" t="s">
        <v>50</v>
      </c>
      <c r="V47" s="28" t="s">
        <v>50</v>
      </c>
      <c r="W47" s="28" t="s">
        <v>50</v>
      </c>
      <c r="X47" s="28" t="s">
        <v>135</v>
      </c>
      <c r="Y47" s="28" t="s">
        <v>134</v>
      </c>
      <c r="Z47" s="28" t="s">
        <v>135</v>
      </c>
      <c r="AA47" s="28" t="s">
        <v>135</v>
      </c>
      <c r="AB47" s="28" t="s">
        <v>135</v>
      </c>
      <c r="AC47" s="28" t="s">
        <v>134</v>
      </c>
      <c r="AD47" s="28" t="s">
        <v>135</v>
      </c>
      <c r="AE47" s="28" t="s">
        <v>177</v>
      </c>
      <c r="AF47" s="28" t="s">
        <v>135</v>
      </c>
      <c r="AG47" s="28" t="s">
        <v>135</v>
      </c>
      <c r="AH47" s="28"/>
      <c r="AI47" s="28" t="s">
        <v>135</v>
      </c>
      <c r="AJ47" s="28"/>
      <c r="AK47" s="33">
        <f>IFERROR(NETWORKDAYS(K47,$AM$1),"-")</f>
        <v>-212</v>
      </c>
      <c r="AL47" s="33">
        <f>IFERROR(NETWORKDAYS(M47,$AM$1),"-")</f>
        <v>-80</v>
      </c>
      <c r="AM47" s="33">
        <f t="shared" si="6"/>
        <v>1</v>
      </c>
    </row>
    <row r="48" spans="1:39" x14ac:dyDescent="0.2">
      <c r="A48" s="7">
        <v>2025</v>
      </c>
      <c r="B48" s="28" t="str">
        <f t="shared" si="8"/>
        <v>MAR</v>
      </c>
      <c r="C48" s="31">
        <v>46094</v>
      </c>
      <c r="D48" s="8"/>
      <c r="E48" s="8">
        <v>46097</v>
      </c>
      <c r="F48" s="28" t="s">
        <v>48</v>
      </c>
      <c r="G48" s="28" t="s">
        <v>223</v>
      </c>
      <c r="H48" s="28" t="str">
        <f>UPPER(VLOOKUP(F48,Droplist!A:C,3,0))</f>
        <v>JAKOB BLUHME</v>
      </c>
      <c r="I48" s="28" t="s">
        <v>216</v>
      </c>
      <c r="J48" s="8">
        <v>46113</v>
      </c>
      <c r="K48" s="8">
        <v>46477</v>
      </c>
      <c r="L48" s="8">
        <v>46113</v>
      </c>
      <c r="M48" s="8">
        <v>46203</v>
      </c>
      <c r="N48" s="28" t="s">
        <v>132</v>
      </c>
      <c r="O48" s="28" t="s">
        <v>132</v>
      </c>
      <c r="P48" s="28" t="s">
        <v>137</v>
      </c>
      <c r="Q48" s="28" t="s">
        <v>139</v>
      </c>
      <c r="R48" s="28" t="s">
        <v>140</v>
      </c>
      <c r="S48" s="28" t="s">
        <v>50</v>
      </c>
      <c r="T48" s="28" t="s">
        <v>132</v>
      </c>
      <c r="U48" s="28" t="s">
        <v>132</v>
      </c>
      <c r="V48" s="28" t="s">
        <v>132</v>
      </c>
      <c r="W48" s="28" t="s">
        <v>132</v>
      </c>
      <c r="X48" s="28" t="s">
        <v>135</v>
      </c>
      <c r="Y48" s="28" t="s">
        <v>134</v>
      </c>
      <c r="Z48" s="28" t="s">
        <v>135</v>
      </c>
      <c r="AA48" s="28" t="s">
        <v>135</v>
      </c>
      <c r="AB48" s="28" t="s">
        <v>135</v>
      </c>
      <c r="AC48" s="28" t="s">
        <v>134</v>
      </c>
      <c r="AD48" s="28" t="s">
        <v>135</v>
      </c>
      <c r="AE48" s="28" t="s">
        <v>177</v>
      </c>
      <c r="AF48" s="28" t="s">
        <v>135</v>
      </c>
      <c r="AG48" s="28" t="str">
        <f t="shared" ref="AG48:AG49" si="10">IFERROR(IF(NETWORKDAYS(C48+1,E48)&gt;=2,"Y","N"),"N")</f>
        <v>N</v>
      </c>
      <c r="AH48" s="28"/>
      <c r="AI48" s="28" t="s">
        <v>135</v>
      </c>
      <c r="AJ48" s="28"/>
      <c r="AK48" s="33">
        <f t="shared" ref="AK48" si="11">IFERROR(NETWORKDAYS(K48,$AM$1),"-")</f>
        <v>-276</v>
      </c>
      <c r="AL48" s="33">
        <f t="shared" ref="AL48" si="12">IFERROR(NETWORKDAYS(M48,$AM$1),"-")</f>
        <v>-80</v>
      </c>
      <c r="AM48" s="33">
        <f t="shared" si="6"/>
        <v>2</v>
      </c>
    </row>
    <row r="49" spans="1:39" x14ac:dyDescent="0.2">
      <c r="A49" s="7">
        <v>2025</v>
      </c>
      <c r="B49" s="28" t="str">
        <f t="shared" si="8"/>
        <v>MAR</v>
      </c>
      <c r="C49" s="8">
        <v>46097</v>
      </c>
      <c r="D49" s="8"/>
      <c r="E49" s="8">
        <v>46097</v>
      </c>
      <c r="F49" s="28" t="s">
        <v>190</v>
      </c>
      <c r="G49" s="28" t="s">
        <v>191</v>
      </c>
      <c r="H49" s="28" t="str">
        <f>UPPER(VLOOKUP(F49,Droplist!A:C,3,0))</f>
        <v>KEVIN TAYLOR</v>
      </c>
      <c r="I49" s="28" t="s">
        <v>192</v>
      </c>
      <c r="J49" s="8">
        <v>46082</v>
      </c>
      <c r="K49" s="8">
        <v>46387</v>
      </c>
      <c r="L49" s="8">
        <v>46113</v>
      </c>
      <c r="M49" s="8">
        <v>46203</v>
      </c>
      <c r="N49" s="28" t="s">
        <v>137</v>
      </c>
      <c r="O49" s="28" t="s">
        <v>139</v>
      </c>
      <c r="P49" s="28" t="s">
        <v>137</v>
      </c>
      <c r="Q49" s="28" t="s">
        <v>139</v>
      </c>
      <c r="R49" s="28" t="s">
        <v>132</v>
      </c>
      <c r="S49" s="28" t="s">
        <v>132</v>
      </c>
      <c r="T49" s="28" t="s">
        <v>132</v>
      </c>
      <c r="U49" s="28" t="s">
        <v>132</v>
      </c>
      <c r="V49" s="28" t="s">
        <v>132</v>
      </c>
      <c r="W49" s="28" t="s">
        <v>132</v>
      </c>
      <c r="X49" s="28" t="s">
        <v>135</v>
      </c>
      <c r="Y49" s="28" t="s">
        <v>135</v>
      </c>
      <c r="Z49" s="28" t="s">
        <v>135</v>
      </c>
      <c r="AA49" s="28" t="s">
        <v>135</v>
      </c>
      <c r="AB49" s="28" t="s">
        <v>135</v>
      </c>
      <c r="AC49" s="28" t="s">
        <v>135</v>
      </c>
      <c r="AD49" s="28" t="s">
        <v>135</v>
      </c>
      <c r="AE49" s="28" t="s">
        <v>201</v>
      </c>
      <c r="AF49" s="28" t="str">
        <f t="shared" ref="AF49:AF51" si="13">IF(AD49="Y",IF(AM49&gt;1,"Y","N"),"")</f>
        <v/>
      </c>
      <c r="AG49" s="28" t="str">
        <f t="shared" si="10"/>
        <v>N</v>
      </c>
      <c r="AH49" s="28"/>
      <c r="AI49" s="28" t="s">
        <v>135</v>
      </c>
      <c r="AJ49" s="28"/>
      <c r="AK49" s="33">
        <f t="shared" ref="AK49" si="14">IFERROR(NETWORKDAYS(K49,$AM$1),"-")</f>
        <v>-212</v>
      </c>
      <c r="AL49" s="33">
        <f t="shared" ref="AL49" si="15">IFERROR(NETWORKDAYS(M49,$AM$1),"-")</f>
        <v>-80</v>
      </c>
      <c r="AM49" s="33">
        <f t="shared" si="6"/>
        <v>2</v>
      </c>
    </row>
    <row r="50" spans="1:39" x14ac:dyDescent="0.2">
      <c r="A50" s="7">
        <v>2025</v>
      </c>
      <c r="B50" s="28" t="str">
        <f t="shared" si="8"/>
        <v>MAR</v>
      </c>
      <c r="C50" s="8">
        <v>46098</v>
      </c>
      <c r="D50" s="8"/>
      <c r="E50" s="8">
        <v>46098</v>
      </c>
      <c r="F50" s="28" t="s">
        <v>102</v>
      </c>
      <c r="G50" s="28" t="s">
        <v>385</v>
      </c>
      <c r="H50" s="28" t="str">
        <f>UPPER(VLOOKUP(F50,Droplist!A:C,3,0))</f>
        <v>JENS POTTSCHUL</v>
      </c>
      <c r="I50" s="28" t="s">
        <v>225</v>
      </c>
      <c r="J50" s="8">
        <v>46113</v>
      </c>
      <c r="K50" s="8">
        <v>46203</v>
      </c>
      <c r="L50" s="8">
        <v>46113</v>
      </c>
      <c r="M50" s="8">
        <v>46203</v>
      </c>
      <c r="N50" s="28" t="s">
        <v>132</v>
      </c>
      <c r="O50" s="28" t="s">
        <v>132</v>
      </c>
      <c r="P50" s="28" t="s">
        <v>137</v>
      </c>
      <c r="Q50" s="28" t="s">
        <v>139</v>
      </c>
      <c r="R50" s="28" t="s">
        <v>132</v>
      </c>
      <c r="S50" s="28" t="s">
        <v>132</v>
      </c>
      <c r="T50" s="28" t="s">
        <v>132</v>
      </c>
      <c r="U50" s="28" t="s">
        <v>132</v>
      </c>
      <c r="V50" s="28" t="s">
        <v>132</v>
      </c>
      <c r="W50" s="28" t="s">
        <v>132</v>
      </c>
      <c r="X50" s="28" t="s">
        <v>135</v>
      </c>
      <c r="Y50" s="28" t="s">
        <v>135</v>
      </c>
      <c r="Z50" s="28" t="s">
        <v>135</v>
      </c>
      <c r="AA50" s="28" t="s">
        <v>135</v>
      </c>
      <c r="AB50" s="28" t="s">
        <v>135</v>
      </c>
      <c r="AC50" s="28" t="s">
        <v>135</v>
      </c>
      <c r="AD50" s="28" t="s">
        <v>134</v>
      </c>
      <c r="AE50" s="28" t="s">
        <v>177</v>
      </c>
      <c r="AF50" s="28" t="str">
        <f t="shared" si="13"/>
        <v>N</v>
      </c>
      <c r="AG50" s="28" t="str">
        <f t="shared" ref="AG50" si="16">IFERROR(IF(NETWORKDAYS(C50+1,E50)&gt;=2,"Y","N"),"N")</f>
        <v>N</v>
      </c>
      <c r="AH50" s="28"/>
      <c r="AI50" s="28" t="s">
        <v>135</v>
      </c>
      <c r="AJ50" s="28"/>
      <c r="AK50" s="33">
        <f t="shared" ref="AK50" si="17">IFERROR(NETWORKDAYS(K50,$AM$1),"-")</f>
        <v>-80</v>
      </c>
      <c r="AL50" s="33">
        <f t="shared" ref="AL50" si="18">IFERROR(NETWORKDAYS(M50,$AM$1),"-")</f>
        <v>-80</v>
      </c>
      <c r="AM50" s="33">
        <f t="shared" si="6"/>
        <v>1</v>
      </c>
    </row>
    <row r="51" spans="1:39" x14ac:dyDescent="0.2">
      <c r="A51" s="7">
        <v>2025</v>
      </c>
      <c r="B51" s="28" t="str">
        <f t="shared" si="8"/>
        <v>MAR</v>
      </c>
      <c r="C51" s="8">
        <v>46097</v>
      </c>
      <c r="D51" s="8"/>
      <c r="E51" s="8">
        <v>46097</v>
      </c>
      <c r="F51" s="28" t="s">
        <v>80</v>
      </c>
      <c r="G51" s="28" t="s">
        <v>288</v>
      </c>
      <c r="H51" s="28" t="str">
        <f>UPPER(VLOOKUP(F51,Droplist!A:C,3,0))</f>
        <v>JENS POTTSCHUL</v>
      </c>
      <c r="I51" s="28" t="s">
        <v>1241</v>
      </c>
      <c r="J51" s="8">
        <v>46023</v>
      </c>
      <c r="K51" s="8">
        <v>46387</v>
      </c>
      <c r="L51" s="8">
        <v>46113</v>
      </c>
      <c r="M51" s="8">
        <v>46203</v>
      </c>
      <c r="N51" s="28" t="s">
        <v>132</v>
      </c>
      <c r="O51" s="28" t="s">
        <v>132</v>
      </c>
      <c r="P51" s="28" t="s">
        <v>137</v>
      </c>
      <c r="Q51" s="28" t="s">
        <v>141</v>
      </c>
      <c r="R51" s="28" t="s">
        <v>140</v>
      </c>
      <c r="S51" s="28" t="s">
        <v>44</v>
      </c>
      <c r="T51" s="28" t="s">
        <v>44</v>
      </c>
      <c r="U51" s="28" t="s">
        <v>44</v>
      </c>
      <c r="V51" s="28" t="s">
        <v>44</v>
      </c>
      <c r="W51" s="28" t="s">
        <v>44</v>
      </c>
      <c r="X51" s="28" t="s">
        <v>135</v>
      </c>
      <c r="Y51" s="28" t="s">
        <v>135</v>
      </c>
      <c r="Z51" s="28" t="s">
        <v>135</v>
      </c>
      <c r="AA51" s="28" t="s">
        <v>135</v>
      </c>
      <c r="AB51" s="28" t="s">
        <v>135</v>
      </c>
      <c r="AC51" s="28" t="s">
        <v>135</v>
      </c>
      <c r="AD51" s="28" t="s">
        <v>135</v>
      </c>
      <c r="AE51" s="28" t="s">
        <v>201</v>
      </c>
      <c r="AF51" s="28" t="str">
        <f t="shared" si="13"/>
        <v/>
      </c>
      <c r="AG51" s="28" t="str">
        <f t="shared" ref="AG51:AG52" si="19">IFERROR(IF(NETWORKDAYS(C51+1,E51)&gt;=2,"Y","N"),"N")</f>
        <v>N</v>
      </c>
      <c r="AH51" s="28"/>
      <c r="AI51" s="28" t="s">
        <v>135</v>
      </c>
      <c r="AJ51" s="28"/>
      <c r="AK51" s="33">
        <f t="shared" ref="AK51:AK52" si="20">IFERROR(NETWORKDAYS(K51,$AM$1),"-")</f>
        <v>-212</v>
      </c>
      <c r="AL51" s="33">
        <f t="shared" ref="AL51:AL52" si="21">IFERROR(NETWORKDAYS(M51,$AM$1),"-")</f>
        <v>-80</v>
      </c>
      <c r="AM51" s="33">
        <f t="shared" si="6"/>
        <v>1</v>
      </c>
    </row>
    <row r="52" spans="1:39" x14ac:dyDescent="0.2">
      <c r="A52" s="7">
        <v>2025</v>
      </c>
      <c r="B52" s="28" t="str">
        <f t="shared" si="8"/>
        <v>MAR</v>
      </c>
      <c r="C52" s="31">
        <v>46084</v>
      </c>
      <c r="D52" s="31"/>
      <c r="E52" s="31">
        <v>46084</v>
      </c>
      <c r="F52" s="28" t="s">
        <v>84</v>
      </c>
      <c r="G52" s="28" t="s">
        <v>198</v>
      </c>
      <c r="H52" s="28" t="str">
        <f>UPPER(VLOOKUP(F52,Droplist!A:C,3,0))</f>
        <v>MARTIN SCHULZ</v>
      </c>
      <c r="I52" s="28" t="s">
        <v>179</v>
      </c>
      <c r="J52" s="8">
        <v>46083</v>
      </c>
      <c r="K52" s="8">
        <v>46387</v>
      </c>
      <c r="L52" s="8">
        <v>46113</v>
      </c>
      <c r="M52" s="8">
        <v>46112</v>
      </c>
      <c r="N52" s="28" t="s">
        <v>132</v>
      </c>
      <c r="O52" s="28" t="s">
        <v>132</v>
      </c>
      <c r="P52" s="28" t="s">
        <v>133</v>
      </c>
      <c r="Q52" s="28" t="s">
        <v>139</v>
      </c>
      <c r="R52" s="28" t="s">
        <v>132</v>
      </c>
      <c r="S52" s="28" t="s">
        <v>132</v>
      </c>
      <c r="T52" s="28" t="s">
        <v>132</v>
      </c>
      <c r="U52" s="28" t="s">
        <v>132</v>
      </c>
      <c r="V52" s="28" t="s">
        <v>132</v>
      </c>
      <c r="W52" s="28" t="s">
        <v>132</v>
      </c>
      <c r="X52" s="28" t="s">
        <v>134</v>
      </c>
      <c r="Y52" s="28" t="s">
        <v>135</v>
      </c>
      <c r="Z52" s="28" t="s">
        <v>135</v>
      </c>
      <c r="AA52" s="28" t="s">
        <v>135</v>
      </c>
      <c r="AB52" s="28" t="s">
        <v>135</v>
      </c>
      <c r="AC52" s="28" t="s">
        <v>135</v>
      </c>
      <c r="AD52" s="28" t="s">
        <v>135</v>
      </c>
      <c r="AE52" s="28" t="s">
        <v>177</v>
      </c>
      <c r="AF52" s="28" t="s">
        <v>135</v>
      </c>
      <c r="AG52" s="28" t="str">
        <f t="shared" si="19"/>
        <v>N</v>
      </c>
      <c r="AH52" s="28"/>
      <c r="AI52" s="28" t="s">
        <v>135</v>
      </c>
      <c r="AJ52" s="28"/>
      <c r="AK52" s="33">
        <f t="shared" si="20"/>
        <v>-212</v>
      </c>
      <c r="AL52" s="33">
        <f t="shared" si="21"/>
        <v>-15</v>
      </c>
      <c r="AM52" s="33">
        <f t="shared" si="6"/>
        <v>3</v>
      </c>
    </row>
    <row r="53" spans="1:39" x14ac:dyDescent="0.2">
      <c r="A53" s="7">
        <v>2025</v>
      </c>
      <c r="B53" s="28" t="str">
        <f t="shared" si="8"/>
        <v>MAR</v>
      </c>
      <c r="C53" s="31">
        <v>46093</v>
      </c>
      <c r="D53" s="31"/>
      <c r="E53" s="31">
        <v>46097</v>
      </c>
      <c r="F53" s="28" t="s">
        <v>75</v>
      </c>
      <c r="G53" s="28" t="s">
        <v>1242</v>
      </c>
      <c r="H53" s="28" t="str">
        <f>UPPER(VLOOKUP(F53,Droplist!A:C,3,0))</f>
        <v>MARTIN SCHULZ</v>
      </c>
      <c r="I53" s="28" t="s">
        <v>212</v>
      </c>
      <c r="J53" s="8">
        <v>46113</v>
      </c>
      <c r="K53" s="8">
        <v>46387</v>
      </c>
      <c r="L53" s="8">
        <v>46113</v>
      </c>
      <c r="M53" s="8">
        <v>46203</v>
      </c>
      <c r="N53" s="28" t="s">
        <v>132</v>
      </c>
      <c r="O53" s="29" t="s">
        <v>137</v>
      </c>
      <c r="P53" s="28" t="s">
        <v>133</v>
      </c>
      <c r="Q53" s="28" t="s">
        <v>139</v>
      </c>
      <c r="R53" s="28" t="s">
        <v>132</v>
      </c>
      <c r="S53" s="28" t="s">
        <v>132</v>
      </c>
      <c r="T53" s="28" t="s">
        <v>132</v>
      </c>
      <c r="U53" s="28" t="s">
        <v>132</v>
      </c>
      <c r="V53" s="28" t="s">
        <v>132</v>
      </c>
      <c r="W53" s="28" t="s">
        <v>132</v>
      </c>
      <c r="X53" s="28" t="s">
        <v>135</v>
      </c>
      <c r="Y53" s="28" t="s">
        <v>134</v>
      </c>
      <c r="Z53" s="28" t="s">
        <v>135</v>
      </c>
      <c r="AA53" s="28" t="s">
        <v>135</v>
      </c>
      <c r="AB53" s="28" t="s">
        <v>135</v>
      </c>
      <c r="AC53" s="28" t="s">
        <v>134</v>
      </c>
      <c r="AD53" s="28" t="s">
        <v>135</v>
      </c>
      <c r="AE53" s="28" t="s">
        <v>177</v>
      </c>
      <c r="AF53" s="28" t="s">
        <v>135</v>
      </c>
      <c r="AG53" s="28" t="s">
        <v>135</v>
      </c>
      <c r="AH53" s="28"/>
      <c r="AI53" s="28" t="s">
        <v>135</v>
      </c>
      <c r="AJ53" s="28"/>
      <c r="AK53" s="33">
        <f t="shared" ref="AK53" si="22">IFERROR(NETWORKDAYS(K53,$AM$1),"-")</f>
        <v>-212</v>
      </c>
      <c r="AL53" s="33">
        <f t="shared" ref="AL53" si="23">IFERROR(NETWORKDAYS(M53,$AM$1),"-")</f>
        <v>-80</v>
      </c>
      <c r="AM53" s="33">
        <f t="shared" si="6"/>
        <v>1</v>
      </c>
    </row>
    <row r="54" spans="1:39" x14ac:dyDescent="0.2">
      <c r="A54" s="7">
        <v>2025</v>
      </c>
      <c r="B54" s="28" t="str">
        <f t="shared" si="8"/>
        <v>MAR</v>
      </c>
      <c r="C54" s="8">
        <v>46099</v>
      </c>
      <c r="D54" s="8"/>
      <c r="E54" s="8">
        <v>46100</v>
      </c>
      <c r="F54" s="28" t="s">
        <v>45</v>
      </c>
      <c r="G54" s="28" t="s">
        <v>351</v>
      </c>
      <c r="H54" s="28" t="str">
        <f>UPPER(VLOOKUP(F54,Droplist!A:C,3,0))</f>
        <v>DENNIS FRANKOWSKI</v>
      </c>
      <c r="I54" s="28" t="s">
        <v>205</v>
      </c>
      <c r="J54" s="8">
        <v>46113</v>
      </c>
      <c r="K54" s="8">
        <v>46203</v>
      </c>
      <c r="L54" s="8">
        <v>46113</v>
      </c>
      <c r="M54" s="8">
        <v>46203</v>
      </c>
      <c r="N54" s="28" t="s">
        <v>132</v>
      </c>
      <c r="O54" s="28" t="s">
        <v>132</v>
      </c>
      <c r="P54" s="28" t="s">
        <v>133</v>
      </c>
      <c r="Q54" s="28" t="s">
        <v>139</v>
      </c>
      <c r="R54" s="28" t="s">
        <v>132</v>
      </c>
      <c r="S54" s="28" t="s">
        <v>132</v>
      </c>
      <c r="T54" s="28" t="s">
        <v>132</v>
      </c>
      <c r="U54" s="28" t="s">
        <v>132</v>
      </c>
      <c r="V54" s="28" t="s">
        <v>132</v>
      </c>
      <c r="W54" s="28" t="s">
        <v>132</v>
      </c>
      <c r="X54" s="28" t="s">
        <v>135</v>
      </c>
      <c r="Y54" s="28" t="s">
        <v>135</v>
      </c>
      <c r="Z54" s="28" t="s">
        <v>135</v>
      </c>
      <c r="AA54" s="28" t="s">
        <v>135</v>
      </c>
      <c r="AB54" s="28" t="s">
        <v>135</v>
      </c>
      <c r="AC54" s="28" t="s">
        <v>135</v>
      </c>
      <c r="AD54" s="28" t="s">
        <v>135</v>
      </c>
      <c r="AE54" s="28" t="s">
        <v>201</v>
      </c>
      <c r="AF54" s="28" t="str">
        <f t="shared" ref="AF54" si="24">IF(AD54="Y",IF(AM54&gt;1,"Y","N"),"")</f>
        <v/>
      </c>
      <c r="AG54" s="28" t="s">
        <v>135</v>
      </c>
      <c r="AH54" s="28"/>
      <c r="AI54" s="28" t="s">
        <v>135</v>
      </c>
      <c r="AJ54" s="28"/>
      <c r="AK54" s="33">
        <f t="shared" ref="AK54:AK55" si="25">IFERROR(NETWORKDAYS(K54,$AM$1),"-")</f>
        <v>-80</v>
      </c>
      <c r="AL54" s="33">
        <f t="shared" ref="AL54:AL55" si="26">IFERROR(NETWORKDAYS(M54,$AM$1),"-")</f>
        <v>-80</v>
      </c>
      <c r="AM54" s="33">
        <f t="shared" si="6"/>
        <v>1</v>
      </c>
    </row>
    <row r="55" spans="1:39" x14ac:dyDescent="0.2">
      <c r="A55" s="7">
        <v>2025</v>
      </c>
      <c r="B55" s="28" t="str">
        <f t="shared" si="8"/>
        <v>MAR</v>
      </c>
      <c r="C55" s="31">
        <v>46104</v>
      </c>
      <c r="D55" s="31"/>
      <c r="E55" s="31" t="s">
        <v>60</v>
      </c>
      <c r="F55" s="28" t="s">
        <v>80</v>
      </c>
      <c r="G55" s="28" t="s">
        <v>224</v>
      </c>
      <c r="H55" s="28" t="str">
        <f>UPPER(VLOOKUP(F55,Droplist!A:C,3,0))</f>
        <v>JENS POTTSCHUL</v>
      </c>
      <c r="I55" s="28" t="s">
        <v>225</v>
      </c>
      <c r="J55" s="8">
        <v>46113</v>
      </c>
      <c r="K55" s="8">
        <v>46203</v>
      </c>
      <c r="L55" s="8">
        <v>46113</v>
      </c>
      <c r="M55" s="8">
        <v>46203</v>
      </c>
      <c r="N55" s="28" t="s">
        <v>132</v>
      </c>
      <c r="O55" s="28" t="s">
        <v>132</v>
      </c>
      <c r="P55" s="28" t="s">
        <v>133</v>
      </c>
      <c r="Q55" s="28" t="s">
        <v>141</v>
      </c>
      <c r="R55" s="28" t="s">
        <v>132</v>
      </c>
      <c r="S55" s="28" t="s">
        <v>132</v>
      </c>
      <c r="T55" s="28" t="s">
        <v>132</v>
      </c>
      <c r="U55" s="28" t="s">
        <v>132</v>
      </c>
      <c r="V55" s="28" t="s">
        <v>132</v>
      </c>
      <c r="W55" s="28" t="s">
        <v>44</v>
      </c>
      <c r="X55" s="28" t="s">
        <v>135</v>
      </c>
      <c r="Y55" s="28" t="s">
        <v>134</v>
      </c>
      <c r="Z55" s="28" t="s">
        <v>135</v>
      </c>
      <c r="AA55" s="28" t="s">
        <v>135</v>
      </c>
      <c r="AB55" s="28" t="s">
        <v>135</v>
      </c>
      <c r="AC55" s="28" t="s">
        <v>134</v>
      </c>
      <c r="AD55" s="28" t="s">
        <v>135</v>
      </c>
      <c r="AE55" s="28" t="s">
        <v>1252</v>
      </c>
      <c r="AF55" s="28" t="s">
        <v>135</v>
      </c>
      <c r="AG55" s="28" t="str">
        <f t="shared" ref="AG55" si="27">IFERROR(IF(NETWORKDAYS(C55+1,E55)&gt;=2,"Y","N"),"N")</f>
        <v>N</v>
      </c>
      <c r="AH55" s="28"/>
      <c r="AI55" s="28" t="s">
        <v>135</v>
      </c>
      <c r="AJ55" s="28"/>
      <c r="AK55" s="33">
        <f t="shared" si="25"/>
        <v>-80</v>
      </c>
      <c r="AL55" s="33">
        <f t="shared" si="26"/>
        <v>-80</v>
      </c>
      <c r="AM55" s="33">
        <f t="shared" si="6"/>
        <v>2</v>
      </c>
    </row>
    <row r="56" spans="1:39" x14ac:dyDescent="0.2">
      <c r="A56" s="7">
        <v>2025</v>
      </c>
      <c r="B56" s="28" t="str">
        <f t="shared" si="8"/>
        <v>MAR</v>
      </c>
      <c r="C56" s="31">
        <v>46104</v>
      </c>
      <c r="D56" s="31"/>
      <c r="E56" s="31">
        <v>46106</v>
      </c>
      <c r="F56" s="28" t="s">
        <v>81</v>
      </c>
      <c r="G56" s="28" t="s">
        <v>411</v>
      </c>
      <c r="H56" s="28" t="str">
        <f>UPPER(VLOOKUP(F56,Droplist!A:C,3,0))</f>
        <v>JENS POTTSCHUL</v>
      </c>
      <c r="I56" s="28" t="s">
        <v>205</v>
      </c>
      <c r="J56" s="8">
        <v>46235</v>
      </c>
      <c r="K56" s="8">
        <v>46599</v>
      </c>
      <c r="L56" s="8">
        <v>46235</v>
      </c>
      <c r="M56" s="8">
        <v>46599</v>
      </c>
      <c r="N56" s="28" t="s">
        <v>132</v>
      </c>
      <c r="O56" s="28" t="s">
        <v>132</v>
      </c>
      <c r="P56" s="28" t="s">
        <v>139</v>
      </c>
      <c r="Q56" s="28" t="s">
        <v>139</v>
      </c>
      <c r="R56" s="28" t="s">
        <v>132</v>
      </c>
      <c r="S56" s="28" t="s">
        <v>44</v>
      </c>
      <c r="T56" s="28" t="s">
        <v>44</v>
      </c>
      <c r="U56" s="28" t="s">
        <v>44</v>
      </c>
      <c r="V56" s="28" t="s">
        <v>44</v>
      </c>
      <c r="W56" s="28" t="s">
        <v>44</v>
      </c>
      <c r="X56" s="28" t="s">
        <v>135</v>
      </c>
      <c r="Y56" s="28" t="s">
        <v>134</v>
      </c>
      <c r="Z56" s="28" t="s">
        <v>135</v>
      </c>
      <c r="AA56" s="28" t="s">
        <v>135</v>
      </c>
      <c r="AB56" s="28" t="s">
        <v>135</v>
      </c>
      <c r="AC56" s="28" t="s">
        <v>134</v>
      </c>
      <c r="AD56" s="28" t="s">
        <v>135</v>
      </c>
      <c r="AE56" s="28" t="s">
        <v>177</v>
      </c>
      <c r="AF56" s="28" t="s">
        <v>135</v>
      </c>
      <c r="AG56" s="28" t="s">
        <v>135</v>
      </c>
      <c r="AH56" s="28"/>
      <c r="AI56" s="28" t="s">
        <v>135</v>
      </c>
      <c r="AJ56" s="28"/>
      <c r="AK56" s="33">
        <f t="shared" ref="AK56" si="28">IFERROR(NETWORKDAYS(K56,$AM$1),"-")</f>
        <v>-363</v>
      </c>
      <c r="AL56" s="33">
        <f t="shared" ref="AL56" si="29">IFERROR(NETWORKDAYS(M56,$AM$1),"-")</f>
        <v>-363</v>
      </c>
      <c r="AM56" s="33">
        <f t="shared" si="6"/>
        <v>1</v>
      </c>
    </row>
    <row r="57" spans="1:39" x14ac:dyDescent="0.2">
      <c r="A57" s="7">
        <v>2025</v>
      </c>
      <c r="B57" s="28" t="s">
        <v>862</v>
      </c>
      <c r="C57" s="31">
        <v>46104</v>
      </c>
      <c r="D57" s="31"/>
      <c r="E57" s="31">
        <v>46105</v>
      </c>
      <c r="F57" s="28" t="s">
        <v>75</v>
      </c>
      <c r="G57" s="28" t="s">
        <v>1243</v>
      </c>
      <c r="H57" s="28" t="str">
        <f>UPPER(VLOOKUP(F57,Droplist!A:C,3,0))</f>
        <v>MARTIN SCHULZ</v>
      </c>
      <c r="I57" s="28" t="s">
        <v>212</v>
      </c>
      <c r="J57" s="8">
        <v>46070</v>
      </c>
      <c r="K57" s="8">
        <v>46387</v>
      </c>
      <c r="L57" s="8">
        <v>46113</v>
      </c>
      <c r="M57" s="8">
        <v>46203</v>
      </c>
      <c r="N57" s="28" t="s">
        <v>137</v>
      </c>
      <c r="O57" s="29" t="s">
        <v>137</v>
      </c>
      <c r="P57" s="28" t="s">
        <v>137</v>
      </c>
      <c r="Q57" s="28" t="s">
        <v>139</v>
      </c>
      <c r="R57" s="28" t="s">
        <v>132</v>
      </c>
      <c r="S57" s="28" t="s">
        <v>132</v>
      </c>
      <c r="T57" s="28" t="s">
        <v>132</v>
      </c>
      <c r="U57" s="28" t="s">
        <v>132</v>
      </c>
      <c r="V57" s="28" t="s">
        <v>132</v>
      </c>
      <c r="W57" s="28" t="s">
        <v>132</v>
      </c>
      <c r="X57" s="28" t="s">
        <v>134</v>
      </c>
      <c r="Y57" s="28" t="s">
        <v>134</v>
      </c>
      <c r="Z57" s="28" t="s">
        <v>135</v>
      </c>
      <c r="AA57" s="28" t="s">
        <v>135</v>
      </c>
      <c r="AB57" s="28" t="s">
        <v>135</v>
      </c>
      <c r="AC57" s="28" t="s">
        <v>134</v>
      </c>
      <c r="AD57" s="28" t="s">
        <v>135</v>
      </c>
      <c r="AE57" s="28" t="s">
        <v>177</v>
      </c>
      <c r="AF57" s="28" t="s">
        <v>135</v>
      </c>
      <c r="AG57" s="28" t="s">
        <v>135</v>
      </c>
      <c r="AH57" s="28"/>
      <c r="AI57" s="28" t="s">
        <v>135</v>
      </c>
      <c r="AJ57" s="28"/>
      <c r="AK57" s="33">
        <f t="shared" ref="AK57" si="30">IFERROR(NETWORKDAYS(K57,$AM$1),"-")</f>
        <v>-212</v>
      </c>
      <c r="AL57" s="33">
        <f t="shared" ref="AL57" si="31">IFERROR(NETWORKDAYS(M57,$AM$1),"-")</f>
        <v>-80</v>
      </c>
      <c r="AM57" s="33">
        <f t="shared" si="6"/>
        <v>1</v>
      </c>
    </row>
    <row r="58" spans="1:39" x14ac:dyDescent="0.2">
      <c r="A58" s="7">
        <v>2025</v>
      </c>
      <c r="B58" s="28" t="str">
        <f t="shared" si="8"/>
        <v>MAR</v>
      </c>
      <c r="C58" s="31">
        <v>46101</v>
      </c>
      <c r="D58" s="31"/>
      <c r="E58" s="31">
        <v>46105</v>
      </c>
      <c r="F58" s="28" t="s">
        <v>207</v>
      </c>
      <c r="G58" s="28" t="s">
        <v>1244</v>
      </c>
      <c r="H58" s="28" t="str">
        <f>UPPER(VLOOKUP(F58,Droplist!A:C,3,0))</f>
        <v>JENS POTTSCHUL</v>
      </c>
      <c r="I58" s="28" t="s">
        <v>225</v>
      </c>
      <c r="J58" s="8">
        <v>46113</v>
      </c>
      <c r="K58" s="8">
        <v>46203</v>
      </c>
      <c r="L58" s="8">
        <v>46113</v>
      </c>
      <c r="M58" s="8">
        <v>46203</v>
      </c>
      <c r="N58" s="28" t="s">
        <v>132</v>
      </c>
      <c r="O58" s="28" t="s">
        <v>132</v>
      </c>
      <c r="P58" s="28" t="s">
        <v>139</v>
      </c>
      <c r="Q58" s="28" t="s">
        <v>139</v>
      </c>
      <c r="R58" s="28" t="s">
        <v>132</v>
      </c>
      <c r="S58" s="28" t="s">
        <v>50</v>
      </c>
      <c r="T58" s="28" t="s">
        <v>132</v>
      </c>
      <c r="U58" s="28" t="s">
        <v>132</v>
      </c>
      <c r="V58" s="28" t="s">
        <v>132</v>
      </c>
      <c r="W58" s="28" t="s">
        <v>132</v>
      </c>
      <c r="X58" s="28" t="s">
        <v>135</v>
      </c>
      <c r="Y58" s="28" t="s">
        <v>134</v>
      </c>
      <c r="Z58" s="28" t="s">
        <v>135</v>
      </c>
      <c r="AA58" s="28" t="s">
        <v>135</v>
      </c>
      <c r="AB58" s="28" t="s">
        <v>135</v>
      </c>
      <c r="AC58" s="28" t="s">
        <v>134</v>
      </c>
      <c r="AD58" s="28" t="s">
        <v>135</v>
      </c>
      <c r="AE58" s="28" t="s">
        <v>177</v>
      </c>
      <c r="AF58" s="28" t="s">
        <v>135</v>
      </c>
      <c r="AG58" s="28" t="s">
        <v>135</v>
      </c>
      <c r="AH58" s="28" t="str">
        <f t="shared" ref="AH58" si="32">IF(AF58="Y",IF(AO58&gt;1,"Y","N"),"")</f>
        <v/>
      </c>
      <c r="AI58" s="28" t="s">
        <v>135</v>
      </c>
      <c r="AJ58" s="28" t="str">
        <f t="shared" ref="AJ58" si="33">IF(AH58="Y",IF(AQ58&gt;1,"Y","N"),"")</f>
        <v/>
      </c>
      <c r="AK58" s="33">
        <f t="shared" ref="AK58:AK59" si="34">IFERROR(NETWORKDAYS(K58,$AM$1),"-")</f>
        <v>-80</v>
      </c>
      <c r="AL58" s="33">
        <f t="shared" ref="AL58:AL59" si="35">IFERROR(NETWORKDAYS(M58,$AM$1),"-")</f>
        <v>-80</v>
      </c>
      <c r="AM58" s="33">
        <f t="shared" si="6"/>
        <v>1</v>
      </c>
    </row>
    <row r="59" spans="1:39" x14ac:dyDescent="0.2">
      <c r="A59" s="7">
        <v>2025</v>
      </c>
      <c r="B59" s="28" t="str">
        <f t="shared" si="8"/>
        <v>MAR</v>
      </c>
      <c r="C59" s="8">
        <v>46104</v>
      </c>
      <c r="D59" s="8"/>
      <c r="E59" s="8">
        <v>46106</v>
      </c>
      <c r="F59" s="28" t="s">
        <v>35</v>
      </c>
      <c r="G59" s="28" t="s">
        <v>1245</v>
      </c>
      <c r="H59" s="28" t="str">
        <f>UPPER(VLOOKUP(F59,Droplist!A:C,3,0))</f>
        <v>MICHELLE YU</v>
      </c>
      <c r="I59" s="28" t="s">
        <v>179</v>
      </c>
      <c r="J59" s="8">
        <v>46113</v>
      </c>
      <c r="K59" s="8">
        <v>46203</v>
      </c>
      <c r="L59" s="8">
        <v>46113</v>
      </c>
      <c r="M59" s="8">
        <v>46203</v>
      </c>
      <c r="N59" s="28" t="s">
        <v>139</v>
      </c>
      <c r="O59" s="28" t="s">
        <v>139</v>
      </c>
      <c r="P59" s="28" t="s">
        <v>137</v>
      </c>
      <c r="Q59" s="28" t="s">
        <v>137</v>
      </c>
      <c r="R59" s="28" t="s">
        <v>132</v>
      </c>
      <c r="S59" s="28" t="s">
        <v>44</v>
      </c>
      <c r="T59" s="28" t="s">
        <v>44</v>
      </c>
      <c r="U59" s="28" t="s">
        <v>44</v>
      </c>
      <c r="V59" s="28" t="s">
        <v>44</v>
      </c>
      <c r="W59" s="28" t="s">
        <v>132</v>
      </c>
      <c r="X59" s="28" t="s">
        <v>135</v>
      </c>
      <c r="Y59" s="28" t="s">
        <v>135</v>
      </c>
      <c r="Z59" s="28" t="s">
        <v>135</v>
      </c>
      <c r="AA59" s="28" t="s">
        <v>135</v>
      </c>
      <c r="AB59" s="28" t="s">
        <v>135</v>
      </c>
      <c r="AC59" s="28" t="s">
        <v>135</v>
      </c>
      <c r="AD59" s="28" t="s">
        <v>135</v>
      </c>
      <c r="AE59" s="28" t="s">
        <v>201</v>
      </c>
      <c r="AF59" s="28" t="str">
        <f t="shared" ref="AF59" si="36">IF(AD59="Y",IF(AM59&gt;1,"Y","N"),"")</f>
        <v/>
      </c>
      <c r="AG59" s="28" t="s">
        <v>135</v>
      </c>
      <c r="AH59" s="28" t="str">
        <f t="shared" ref="AH59" si="37">IF(AF59="Y",IF(AO59&gt;1,"Y","N"),"")</f>
        <v/>
      </c>
      <c r="AI59" s="28" t="s">
        <v>135</v>
      </c>
      <c r="AJ59" s="28" t="str">
        <f t="shared" ref="AJ59" si="38">IF(AH59="Y",IF(AQ59&gt;1,"Y","N"),"")</f>
        <v/>
      </c>
      <c r="AK59" s="33">
        <f t="shared" si="34"/>
        <v>-80</v>
      </c>
      <c r="AL59" s="33">
        <f t="shared" si="35"/>
        <v>-80</v>
      </c>
      <c r="AM59" s="33">
        <f t="shared" si="6"/>
        <v>1</v>
      </c>
    </row>
    <row r="60" spans="1:39" x14ac:dyDescent="0.2">
      <c r="A60" s="7">
        <v>2025</v>
      </c>
      <c r="B60" s="28" t="str">
        <f t="shared" si="8"/>
        <v>MAR</v>
      </c>
      <c r="C60" s="31">
        <v>46107</v>
      </c>
      <c r="D60" s="31"/>
      <c r="E60" s="31" t="s">
        <v>60</v>
      </c>
      <c r="F60" s="28" t="s">
        <v>102</v>
      </c>
      <c r="G60" s="28" t="s">
        <v>1246</v>
      </c>
      <c r="H60" s="28" t="str">
        <f>UPPER(VLOOKUP(F60,Droplist!A:C,3,0))</f>
        <v>JENS POTTSCHUL</v>
      </c>
      <c r="I60" s="28" t="s">
        <v>183</v>
      </c>
      <c r="J60" s="8">
        <v>46113</v>
      </c>
      <c r="K60" s="8">
        <v>46203</v>
      </c>
      <c r="L60" s="8">
        <v>46113</v>
      </c>
      <c r="M60" s="8">
        <v>46203</v>
      </c>
      <c r="N60" s="28" t="s">
        <v>132</v>
      </c>
      <c r="O60" s="28" t="s">
        <v>132</v>
      </c>
      <c r="P60" s="28" t="s">
        <v>133</v>
      </c>
      <c r="Q60" s="28" t="s">
        <v>139</v>
      </c>
      <c r="R60" s="28" t="s">
        <v>132</v>
      </c>
      <c r="S60" s="28" t="s">
        <v>132</v>
      </c>
      <c r="T60" s="28" t="s">
        <v>132</v>
      </c>
      <c r="U60" s="28" t="s">
        <v>132</v>
      </c>
      <c r="V60" s="28" t="s">
        <v>132</v>
      </c>
      <c r="W60" s="28" t="s">
        <v>132</v>
      </c>
      <c r="X60" s="28" t="s">
        <v>135</v>
      </c>
      <c r="Y60" s="28" t="s">
        <v>135</v>
      </c>
      <c r="Z60" s="28" t="s">
        <v>135</v>
      </c>
      <c r="AA60" s="28" t="s">
        <v>135</v>
      </c>
      <c r="AB60" s="28" t="s">
        <v>135</v>
      </c>
      <c r="AC60" s="28" t="s">
        <v>135</v>
      </c>
      <c r="AD60" s="28" t="s">
        <v>134</v>
      </c>
      <c r="AE60" s="28" t="s">
        <v>60</v>
      </c>
      <c r="AF60" s="29" t="s">
        <v>135</v>
      </c>
      <c r="AG60" s="29" t="s">
        <v>135</v>
      </c>
      <c r="AH60" s="29" t="str">
        <f t="shared" ref="AH60:AH61" si="39">IF(AF60="Y",IF(AO60&gt;1,"Y","N"),"")</f>
        <v/>
      </c>
      <c r="AI60" s="29" t="s">
        <v>135</v>
      </c>
      <c r="AJ60" s="29" t="str">
        <f t="shared" ref="AJ60:AJ61" si="40">IF(AH60="Y",IF(AQ60&gt;1,"Y","N"),"")</f>
        <v/>
      </c>
      <c r="AK60" s="76">
        <f t="shared" ref="AK60" si="41">IFERROR(NETWORKDAYS(K60,$AM$1),"-")</f>
        <v>-80</v>
      </c>
      <c r="AL60" s="76">
        <f t="shared" ref="AL60" si="42">IFERROR(NETWORKDAYS(M60,$AM$1),"-")</f>
        <v>-80</v>
      </c>
      <c r="AM60" s="76">
        <f t="shared" si="6"/>
        <v>1</v>
      </c>
    </row>
    <row r="61" spans="1:39" x14ac:dyDescent="0.2">
      <c r="A61" s="7">
        <v>2025</v>
      </c>
      <c r="B61" s="28" t="str">
        <f t="shared" si="8"/>
        <v>MAR</v>
      </c>
      <c r="C61" s="8">
        <v>46107</v>
      </c>
      <c r="D61" s="8"/>
      <c r="E61" s="8">
        <v>46108</v>
      </c>
      <c r="F61" s="28" t="s">
        <v>94</v>
      </c>
      <c r="G61" s="28" t="s">
        <v>1247</v>
      </c>
      <c r="H61" s="28" t="str">
        <f>UPPER(VLOOKUP(F61,Droplist!A:C,3,0))</f>
        <v>JENS POTTSCHUL</v>
      </c>
      <c r="I61" s="28" t="s">
        <v>181</v>
      </c>
      <c r="J61" s="8">
        <v>46113</v>
      </c>
      <c r="K61" s="8">
        <v>46477</v>
      </c>
      <c r="L61" s="8">
        <v>46113</v>
      </c>
      <c r="M61" s="8">
        <v>46477</v>
      </c>
      <c r="N61" s="28" t="s">
        <v>132</v>
      </c>
      <c r="O61" s="28" t="s">
        <v>132</v>
      </c>
      <c r="P61" s="28" t="s">
        <v>137</v>
      </c>
      <c r="Q61" s="28" t="s">
        <v>139</v>
      </c>
      <c r="R61" s="28" t="s">
        <v>44</v>
      </c>
      <c r="S61" s="28" t="s">
        <v>44</v>
      </c>
      <c r="T61" s="28" t="s">
        <v>44</v>
      </c>
      <c r="U61" s="28" t="s">
        <v>44</v>
      </c>
      <c r="V61" s="28" t="s">
        <v>44</v>
      </c>
      <c r="W61" s="28" t="s">
        <v>44</v>
      </c>
      <c r="X61" s="28" t="s">
        <v>135</v>
      </c>
      <c r="Y61" s="28" t="s">
        <v>135</v>
      </c>
      <c r="Z61" s="28" t="s">
        <v>135</v>
      </c>
      <c r="AA61" s="28" t="s">
        <v>135</v>
      </c>
      <c r="AB61" s="28" t="s">
        <v>135</v>
      </c>
      <c r="AC61" s="28" t="s">
        <v>135</v>
      </c>
      <c r="AD61" s="28" t="s">
        <v>135</v>
      </c>
      <c r="AE61" s="28" t="s">
        <v>177</v>
      </c>
      <c r="AF61" s="28" t="str">
        <f t="shared" ref="AF61:AF63" si="43">IF(AD61="Y",IF(AM61&gt;1,"Y","N"),"")</f>
        <v/>
      </c>
      <c r="AG61" s="28" t="s">
        <v>135</v>
      </c>
      <c r="AH61" s="28" t="str">
        <f t="shared" si="39"/>
        <v/>
      </c>
      <c r="AI61" s="28" t="s">
        <v>135</v>
      </c>
      <c r="AJ61" s="28" t="str">
        <f t="shared" si="40"/>
        <v/>
      </c>
      <c r="AK61" s="33">
        <f t="shared" ref="AK61" si="44">IFERROR(NETWORKDAYS(K61,$AM$1),"-")</f>
        <v>-276</v>
      </c>
      <c r="AL61" s="33">
        <f t="shared" ref="AL61" si="45">IFERROR(NETWORKDAYS(M61,$AM$1),"-")</f>
        <v>-276</v>
      </c>
      <c r="AM61" s="33">
        <f t="shared" si="6"/>
        <v>1</v>
      </c>
    </row>
    <row r="62" spans="1:39" x14ac:dyDescent="0.2">
      <c r="A62" s="7">
        <v>2025</v>
      </c>
      <c r="B62" s="28" t="str">
        <f t="shared" si="8"/>
        <v>MAR</v>
      </c>
      <c r="C62" s="8">
        <v>46107</v>
      </c>
      <c r="D62" s="8"/>
      <c r="E62" s="8">
        <v>46108</v>
      </c>
      <c r="F62" s="28" t="s">
        <v>234</v>
      </c>
      <c r="G62" s="28" t="s">
        <v>1248</v>
      </c>
      <c r="H62" s="28" t="str">
        <f>UPPER(VLOOKUP(F62,Droplist!A:C,3,0))</f>
        <v>CHRIS CROWDER</v>
      </c>
      <c r="I62" s="28" t="s">
        <v>181</v>
      </c>
      <c r="J62" s="8">
        <v>46113</v>
      </c>
      <c r="K62" s="8">
        <v>46173</v>
      </c>
      <c r="L62" s="8">
        <v>46113</v>
      </c>
      <c r="M62" s="8">
        <v>46173</v>
      </c>
      <c r="N62" s="28" t="s">
        <v>132</v>
      </c>
      <c r="O62" s="28" t="s">
        <v>137</v>
      </c>
      <c r="P62" s="28" t="s">
        <v>137</v>
      </c>
      <c r="Q62" s="28" t="s">
        <v>137</v>
      </c>
      <c r="R62" s="28" t="s">
        <v>44</v>
      </c>
      <c r="S62" s="28" t="s">
        <v>132</v>
      </c>
      <c r="T62" s="28" t="s">
        <v>44</v>
      </c>
      <c r="U62" s="28" t="s">
        <v>44</v>
      </c>
      <c r="V62" s="28" t="s">
        <v>44</v>
      </c>
      <c r="W62" s="28" t="s">
        <v>44</v>
      </c>
      <c r="X62" s="28" t="s">
        <v>135</v>
      </c>
      <c r="Y62" s="28" t="s">
        <v>135</v>
      </c>
      <c r="Z62" s="28" t="s">
        <v>135</v>
      </c>
      <c r="AA62" s="28" t="s">
        <v>135</v>
      </c>
      <c r="AB62" s="28" t="s">
        <v>135</v>
      </c>
      <c r="AC62" s="28" t="s">
        <v>135</v>
      </c>
      <c r="AD62" s="28" t="s">
        <v>135</v>
      </c>
      <c r="AE62" s="28" t="s">
        <v>177</v>
      </c>
      <c r="AF62" s="28" t="str">
        <f t="shared" si="43"/>
        <v/>
      </c>
      <c r="AG62" s="28" t="s">
        <v>135</v>
      </c>
      <c r="AH62" s="28" t="str">
        <f t="shared" ref="AH62" si="46">IF(AF62="Y",IF(AO62&gt;1,"Y","N"),"")</f>
        <v/>
      </c>
      <c r="AI62" s="28" t="s">
        <v>135</v>
      </c>
      <c r="AJ62" s="28" t="str">
        <f t="shared" ref="AJ62" si="47">IF(AH62="Y",IF(AQ62&gt;1,"Y","N"),"")</f>
        <v/>
      </c>
      <c r="AK62" s="33">
        <f t="shared" ref="AK62" si="48">IFERROR(NETWORKDAYS(K62,$AM$1),"-")</f>
        <v>-58</v>
      </c>
      <c r="AL62" s="33">
        <f t="shared" ref="AL62" si="49">IFERROR(NETWORKDAYS(M62,$AM$1),"-")</f>
        <v>-58</v>
      </c>
      <c r="AM62" s="33">
        <f t="shared" si="6"/>
        <v>1</v>
      </c>
    </row>
    <row r="63" spans="1:39" x14ac:dyDescent="0.2">
      <c r="A63" s="7">
        <v>2025</v>
      </c>
      <c r="B63" s="28" t="str">
        <f t="shared" si="8"/>
        <v>MAR</v>
      </c>
      <c r="C63" s="8">
        <v>46107</v>
      </c>
      <c r="D63" s="8"/>
      <c r="E63" s="8">
        <v>46108</v>
      </c>
      <c r="F63" s="28" t="s">
        <v>407</v>
      </c>
      <c r="G63" s="28" t="s">
        <v>1249</v>
      </c>
      <c r="H63" s="28" t="str">
        <f>UPPER(VLOOKUP(F63,Droplist!A:C,3,0))</f>
        <v xml:space="preserve">ROBERTA MACLEOD-STUART </v>
      </c>
      <c r="I63" s="28" t="s">
        <v>181</v>
      </c>
      <c r="J63" s="8">
        <v>46113</v>
      </c>
      <c r="K63" s="8">
        <v>46477</v>
      </c>
      <c r="L63" s="8">
        <v>46113</v>
      </c>
      <c r="M63" s="8">
        <v>46477</v>
      </c>
      <c r="N63" s="28" t="s">
        <v>132</v>
      </c>
      <c r="O63" s="28" t="s">
        <v>132</v>
      </c>
      <c r="P63" s="28" t="s">
        <v>133</v>
      </c>
      <c r="Q63" s="28" t="s">
        <v>139</v>
      </c>
      <c r="R63" s="28" t="s">
        <v>132</v>
      </c>
      <c r="S63" s="28" t="s">
        <v>50</v>
      </c>
      <c r="T63" s="28" t="s">
        <v>132</v>
      </c>
      <c r="U63" s="28" t="s">
        <v>132</v>
      </c>
      <c r="V63" s="28" t="s">
        <v>132</v>
      </c>
      <c r="W63" s="28" t="s">
        <v>132</v>
      </c>
      <c r="X63" s="28" t="s">
        <v>135</v>
      </c>
      <c r="Y63" s="28" t="s">
        <v>135</v>
      </c>
      <c r="Z63" s="28" t="s">
        <v>135</v>
      </c>
      <c r="AA63" s="28" t="s">
        <v>135</v>
      </c>
      <c r="AB63" s="28" t="s">
        <v>135</v>
      </c>
      <c r="AC63" s="28" t="s">
        <v>135</v>
      </c>
      <c r="AD63" s="28" t="s">
        <v>135</v>
      </c>
      <c r="AE63" s="28" t="s">
        <v>177</v>
      </c>
      <c r="AF63" s="28" t="str">
        <f t="shared" si="43"/>
        <v/>
      </c>
      <c r="AG63" s="28" t="s">
        <v>135</v>
      </c>
      <c r="AH63" s="28" t="str">
        <f t="shared" ref="AH63" si="50">IF(AF63="Y",IF(AO63&gt;1,"Y","N"),"")</f>
        <v/>
      </c>
      <c r="AI63" s="28" t="s">
        <v>135</v>
      </c>
      <c r="AJ63" s="28" t="str">
        <f t="shared" ref="AJ63" si="51">IF(AH63="Y",IF(AQ63&gt;1,"Y","N"),"")</f>
        <v/>
      </c>
      <c r="AK63" s="33">
        <f t="shared" ref="AK63" si="52">IFERROR(NETWORKDAYS(K63,$AM$1),"-")</f>
        <v>-276</v>
      </c>
      <c r="AL63" s="33">
        <f t="shared" ref="AL63" si="53">IFERROR(NETWORKDAYS(M63,$AM$1),"-")</f>
        <v>-276</v>
      </c>
      <c r="AM63" s="33">
        <f t="shared" si="6"/>
        <v>1</v>
      </c>
    </row>
    <row r="64" spans="1:39" x14ac:dyDescent="0.2">
      <c r="A64" s="7">
        <v>2025</v>
      </c>
      <c r="B64" s="28" t="str">
        <f t="shared" si="8"/>
        <v>MAR</v>
      </c>
      <c r="C64" s="31">
        <v>46109</v>
      </c>
      <c r="D64" s="31"/>
      <c r="E64" s="31">
        <v>46111</v>
      </c>
      <c r="F64" s="28" t="s">
        <v>99</v>
      </c>
      <c r="G64" s="28" t="s">
        <v>411</v>
      </c>
      <c r="H64" s="28" t="str">
        <f>UPPER(VLOOKUP(F64,Droplist!A:C,3,0))</f>
        <v>KEVIN TAYLOR</v>
      </c>
      <c r="I64" s="28" t="s">
        <v>181</v>
      </c>
      <c r="J64" s="8">
        <v>46143</v>
      </c>
      <c r="K64" s="8">
        <v>46507</v>
      </c>
      <c r="L64" s="8">
        <v>46143</v>
      </c>
      <c r="M64" s="8">
        <v>46203</v>
      </c>
      <c r="N64" s="28" t="s">
        <v>132</v>
      </c>
      <c r="O64" s="28" t="s">
        <v>132</v>
      </c>
      <c r="P64" s="28" t="s">
        <v>137</v>
      </c>
      <c r="Q64" s="28" t="s">
        <v>139</v>
      </c>
      <c r="R64" s="28" t="s">
        <v>132</v>
      </c>
      <c r="S64" s="28" t="s">
        <v>132</v>
      </c>
      <c r="T64" s="28" t="s">
        <v>132</v>
      </c>
      <c r="U64" s="28" t="s">
        <v>132</v>
      </c>
      <c r="V64" s="28" t="s">
        <v>132</v>
      </c>
      <c r="W64" s="28" t="s">
        <v>132</v>
      </c>
      <c r="X64" s="28" t="s">
        <v>135</v>
      </c>
      <c r="Y64" s="28" t="s">
        <v>134</v>
      </c>
      <c r="Z64" s="28" t="s">
        <v>135</v>
      </c>
      <c r="AA64" s="28" t="s">
        <v>135</v>
      </c>
      <c r="AB64" s="28" t="s">
        <v>135</v>
      </c>
      <c r="AC64" s="28" t="s">
        <v>135</v>
      </c>
      <c r="AD64" s="28" t="s">
        <v>135</v>
      </c>
      <c r="AE64" s="28" t="s">
        <v>177</v>
      </c>
      <c r="AF64" s="28" t="s">
        <v>135</v>
      </c>
      <c r="AG64" s="28" t="s">
        <v>135</v>
      </c>
      <c r="AH64" s="28" t="str">
        <f t="shared" ref="AH64" si="54">IF(AF64="Y",IF(AO64&gt;1,"Y","N"),"")</f>
        <v/>
      </c>
      <c r="AI64" s="28" t="s">
        <v>135</v>
      </c>
      <c r="AJ64" s="28" t="str">
        <f t="shared" ref="AJ64" si="55">IF(AH64="Y",IF(AQ64&gt;1,"Y","N"),"")</f>
        <v/>
      </c>
      <c r="AK64" s="76">
        <f t="shared" ref="AK64" si="56">IFERROR(NETWORKDAYS(K64,$AM$1),"-")</f>
        <v>-298</v>
      </c>
      <c r="AL64" s="76">
        <f t="shared" ref="AL64" si="57">IFERROR(NETWORKDAYS(M64,$AM$1),"-")</f>
        <v>-80</v>
      </c>
      <c r="AM64" s="76">
        <f t="shared" si="6"/>
        <v>1</v>
      </c>
    </row>
    <row r="65" spans="1:39" x14ac:dyDescent="0.2">
      <c r="A65" s="7">
        <v>2025</v>
      </c>
      <c r="B65" s="28" t="str">
        <f t="shared" si="8"/>
        <v>MAR</v>
      </c>
      <c r="C65" s="8">
        <v>46112</v>
      </c>
      <c r="D65" s="8"/>
      <c r="E65" s="8">
        <v>46112</v>
      </c>
      <c r="F65" s="28" t="s">
        <v>290</v>
      </c>
      <c r="G65" s="28" t="s">
        <v>292</v>
      </c>
      <c r="H65" s="28" t="str">
        <f>UPPER(VLOOKUP(F65,Droplist!A:C,3,0))</f>
        <v>JENS POTTSCHUL</v>
      </c>
      <c r="I65" s="28" t="s">
        <v>179</v>
      </c>
      <c r="J65" s="8">
        <v>46121</v>
      </c>
      <c r="K65" s="8">
        <v>46387</v>
      </c>
      <c r="L65" s="8">
        <v>46121</v>
      </c>
      <c r="M65" s="8">
        <v>46142</v>
      </c>
      <c r="N65" s="28" t="s">
        <v>132</v>
      </c>
      <c r="O65" s="28" t="s">
        <v>132</v>
      </c>
      <c r="P65" s="28" t="s">
        <v>133</v>
      </c>
      <c r="Q65" s="28" t="s">
        <v>139</v>
      </c>
      <c r="R65" s="28" t="s">
        <v>132</v>
      </c>
      <c r="S65" s="28" t="s">
        <v>132</v>
      </c>
      <c r="T65" s="28" t="s">
        <v>132</v>
      </c>
      <c r="U65" s="28" t="s">
        <v>132</v>
      </c>
      <c r="V65" s="28" t="s">
        <v>132</v>
      </c>
      <c r="W65" s="28" t="s">
        <v>132</v>
      </c>
      <c r="X65" s="28" t="s">
        <v>135</v>
      </c>
      <c r="Y65" s="28" t="s">
        <v>135</v>
      </c>
      <c r="Z65" s="28" t="s">
        <v>135</v>
      </c>
      <c r="AA65" s="28" t="s">
        <v>135</v>
      </c>
      <c r="AB65" s="28" t="s">
        <v>135</v>
      </c>
      <c r="AC65" s="28" t="s">
        <v>135</v>
      </c>
      <c r="AD65" s="28" t="s">
        <v>135</v>
      </c>
      <c r="AE65" s="28" t="s">
        <v>201</v>
      </c>
      <c r="AF65" s="28" t="str">
        <f t="shared" ref="AF65" si="58">IF(AD65="Y",IF(AM65&gt;1,"Y","N"),"")</f>
        <v/>
      </c>
      <c r="AG65" s="28" t="s">
        <v>135</v>
      </c>
      <c r="AH65" s="28" t="str">
        <f t="shared" ref="AH65" si="59">IF(AF65="Y",IF(AO65&gt;1,"Y","N"),"")</f>
        <v/>
      </c>
      <c r="AI65" s="28" t="s">
        <v>135</v>
      </c>
      <c r="AJ65" s="28" t="str">
        <f t="shared" ref="AJ65" si="60">IF(AH65="Y",IF(AQ65&gt;1,"Y","N"),"")</f>
        <v/>
      </c>
      <c r="AK65" s="33">
        <f t="shared" ref="AK65" si="61">IFERROR(NETWORKDAYS(K65,$AM$1),"-")</f>
        <v>-212</v>
      </c>
      <c r="AL65" s="33">
        <f t="shared" ref="AL65" si="62">IFERROR(NETWORKDAYS(M65,$AM$1),"-")</f>
        <v>-37</v>
      </c>
      <c r="AM65" s="33">
        <f t="shared" si="6"/>
        <v>1</v>
      </c>
    </row>
    <row r="66" spans="1:39" x14ac:dyDescent="0.2">
      <c r="A66" s="7">
        <v>2025</v>
      </c>
      <c r="B66" s="28" t="str">
        <f>UPPER(TEXT(C66,"APRIL"))</f>
        <v>APRIL</v>
      </c>
      <c r="C66" s="31">
        <v>46113</v>
      </c>
      <c r="D66" s="31"/>
      <c r="E66" s="31" t="s">
        <v>60</v>
      </c>
      <c r="F66" s="28" t="s">
        <v>729</v>
      </c>
      <c r="G66" s="28" t="s">
        <v>1250</v>
      </c>
      <c r="H66" s="28" t="str">
        <f>UPPER(VLOOKUP(F66,Droplist!A:C,3,0))</f>
        <v>ROATHA LY</v>
      </c>
      <c r="I66" s="28" t="s">
        <v>1238</v>
      </c>
      <c r="J66" s="8">
        <v>46118</v>
      </c>
      <c r="K66" s="8">
        <v>46387</v>
      </c>
      <c r="L66" s="8">
        <v>46118</v>
      </c>
      <c r="M66" s="8">
        <v>46203</v>
      </c>
      <c r="N66" s="28" t="s">
        <v>132</v>
      </c>
      <c r="O66" s="28" t="s">
        <v>132</v>
      </c>
      <c r="P66" s="28" t="s">
        <v>133</v>
      </c>
      <c r="Q66" s="28" t="s">
        <v>139</v>
      </c>
      <c r="R66" s="28" t="s">
        <v>132</v>
      </c>
      <c r="S66" s="28" t="s">
        <v>132</v>
      </c>
      <c r="T66" s="28" t="s">
        <v>132</v>
      </c>
      <c r="U66" s="28" t="s">
        <v>132</v>
      </c>
      <c r="V66" s="28" t="s">
        <v>132</v>
      </c>
      <c r="W66" s="28" t="s">
        <v>132</v>
      </c>
      <c r="X66" s="28" t="s">
        <v>135</v>
      </c>
      <c r="Y66" s="28" t="s">
        <v>135</v>
      </c>
      <c r="Z66" s="28" t="s">
        <v>135</v>
      </c>
      <c r="AA66" s="28" t="s">
        <v>135</v>
      </c>
      <c r="AB66" s="28" t="s">
        <v>135</v>
      </c>
      <c r="AC66" s="28" t="s">
        <v>135</v>
      </c>
      <c r="AD66" s="28" t="s">
        <v>134</v>
      </c>
      <c r="AE66" s="28" t="s">
        <v>60</v>
      </c>
      <c r="AF66" s="28" t="s">
        <v>135</v>
      </c>
      <c r="AG66" s="28" t="s">
        <v>135</v>
      </c>
      <c r="AH66" s="28" t="str">
        <f t="shared" ref="AH66:AH67" si="63">IF(AF66="Y",IF(AO66&gt;1,"Y","N"),"")</f>
        <v/>
      </c>
      <c r="AI66" s="28" t="s">
        <v>135</v>
      </c>
      <c r="AJ66" s="28" t="str">
        <f t="shared" ref="AJ66:AJ67" si="64">IF(AH66="Y",IF(AQ66&gt;1,"Y","N"),"")</f>
        <v/>
      </c>
      <c r="AK66" s="76">
        <f t="shared" ref="AK66" si="65">IFERROR(NETWORKDAYS(K66,$AM$1),"-")</f>
        <v>-212</v>
      </c>
      <c r="AL66" s="76">
        <f t="shared" ref="AL66" si="66">IFERROR(NETWORKDAYS(M66,$AM$1),"-")</f>
        <v>-80</v>
      </c>
      <c r="AM66" s="76">
        <f t="shared" si="6"/>
        <v>1</v>
      </c>
    </row>
    <row r="67" spans="1:39" x14ac:dyDescent="0.2">
      <c r="A67" s="7">
        <v>2025</v>
      </c>
      <c r="B67" s="28" t="str">
        <f>UPPER(TEXT(C67,"APRIL"))</f>
        <v>APRIL</v>
      </c>
      <c r="C67" s="8">
        <v>46113</v>
      </c>
      <c r="D67" s="8"/>
      <c r="E67" s="8">
        <v>46113</v>
      </c>
      <c r="F67" s="28" t="s">
        <v>97</v>
      </c>
      <c r="G67" s="28" t="s">
        <v>1251</v>
      </c>
      <c r="H67" s="28" t="str">
        <f>UPPER(VLOOKUP(F67,Droplist!A:C,3,0))</f>
        <v>JAKOB BLUHME / TOM HINE</v>
      </c>
      <c r="I67" s="28" t="s">
        <v>181</v>
      </c>
      <c r="J67" s="8">
        <v>46143</v>
      </c>
      <c r="K67" s="8">
        <v>46507</v>
      </c>
      <c r="L67" s="8">
        <v>46143</v>
      </c>
      <c r="M67" s="8">
        <v>46507</v>
      </c>
      <c r="N67" s="28" t="s">
        <v>132</v>
      </c>
      <c r="O67" s="28" t="s">
        <v>132</v>
      </c>
      <c r="P67" s="28" t="s">
        <v>137</v>
      </c>
      <c r="Q67" s="28" t="s">
        <v>139</v>
      </c>
      <c r="R67" s="28" t="s">
        <v>132</v>
      </c>
      <c r="S67" s="28" t="s">
        <v>132</v>
      </c>
      <c r="T67" s="28" t="s">
        <v>132</v>
      </c>
      <c r="U67" s="28" t="s">
        <v>132</v>
      </c>
      <c r="V67" s="28" t="s">
        <v>132</v>
      </c>
      <c r="W67" s="28" t="s">
        <v>132</v>
      </c>
      <c r="X67" s="28" t="s">
        <v>135</v>
      </c>
      <c r="Y67" s="28" t="s">
        <v>135</v>
      </c>
      <c r="Z67" s="28" t="s">
        <v>135</v>
      </c>
      <c r="AA67" s="28" t="s">
        <v>135</v>
      </c>
      <c r="AB67" s="28" t="s">
        <v>135</v>
      </c>
      <c r="AC67" s="28" t="s">
        <v>135</v>
      </c>
      <c r="AD67" s="28" t="s">
        <v>135</v>
      </c>
      <c r="AE67" s="28" t="s">
        <v>201</v>
      </c>
      <c r="AF67" s="28" t="str">
        <f t="shared" ref="AF67" si="67">IF(AD67="Y",IF(AM67&gt;1,"Y","N"),"")</f>
        <v/>
      </c>
      <c r="AG67" s="28" t="s">
        <v>135</v>
      </c>
      <c r="AH67" s="28" t="str">
        <f t="shared" si="63"/>
        <v/>
      </c>
      <c r="AI67" s="28" t="s">
        <v>135</v>
      </c>
      <c r="AJ67" s="28" t="str">
        <f t="shared" si="64"/>
        <v/>
      </c>
      <c r="AK67" s="33">
        <f t="shared" ref="AK67" si="68">IFERROR(NETWORKDAYS(K67,$AM$1),"-")</f>
        <v>-298</v>
      </c>
      <c r="AL67" s="33">
        <f t="shared" ref="AL67" si="69">IFERROR(NETWORKDAYS(M67,$AM$1),"-")</f>
        <v>-298</v>
      </c>
      <c r="AM67" s="33">
        <f t="shared" si="6"/>
        <v>1</v>
      </c>
    </row>
  </sheetData>
  <protectedRanges>
    <protectedRange sqref="E6 E8 C3:D20 E10:E20 C21:E38 D52:D54 C55:E55 C56:D66 E66 C67:E67" name="edit_1"/>
    <protectedRange sqref="E3" name="edit_2"/>
    <protectedRange sqref="F3 F6" name="edit_4"/>
    <protectedRange sqref="G3" name="Range1"/>
  </protectedRanges>
  <autoFilter ref="B2:AM67" xr:uid="{D7ED4A0A-EEA0-46B7-94A0-EB4D42586C9E}"/>
  <mergeCells count="8">
    <mergeCell ref="AK1:AL1"/>
    <mergeCell ref="B1:E1"/>
    <mergeCell ref="AC1:AJ1"/>
    <mergeCell ref="F1:G1"/>
    <mergeCell ref="H1:I1"/>
    <mergeCell ref="J1:M1"/>
    <mergeCell ref="N1:W1"/>
    <mergeCell ref="X1:AB1"/>
  </mergeCells>
  <conditionalFormatting sqref="A51:B54">
    <cfRule type="expression" dxfId="27" priority="2">
      <formula>#REF!="Y"</formula>
    </cfRule>
  </conditionalFormatting>
  <conditionalFormatting sqref="A59:AE59">
    <cfRule type="expression" dxfId="26" priority="130">
      <formula>$AD60="Y"</formula>
    </cfRule>
  </conditionalFormatting>
  <conditionalFormatting sqref="A2:AM2 B39:AL39 A39:A41 B40:AD41 AF40:AL41 B43:AL43 A43:A50 F44:O45 Q44:AF45 AH44:AL46 B44:C48 L46:AE46 F46:J47 AF46:AF59 L47:Q47 S47:AE47 AG47:AL47 F49:J49 L49:AE49 B49:B50 AG49:AJ50 F50:H50 J50:AE50 B53:J53 L53:AE53 A53:A54 AG53:AJ54 B54:AE54 R55:R58 B56:AE56 AG56:AJ59 A56:A67 B57:J57 L57:AE57 B58:H58 J58:AE58 B59 B60:AJ64 B65:J66 L65:AJ66 B67:AJ67">
    <cfRule type="expression" dxfId="25" priority="8">
      <formula>$AD3="Y"</formula>
    </cfRule>
  </conditionalFormatting>
  <conditionalFormatting sqref="B3:AL39 AF40:AL41 B43:AL43 AH44:AL46 AG47:AL57 AK58:AL63 B64:AL64 L65:AL66 B67:AL1048576 B60:AJ63 AE40:AE42 Q44:AF45 L46:AE46 S47:AE47 F48:AE48 L49:AE49 J50:AE50 R51:AE51 B52:AE52 L53:AE53 B54:AE56 L57:AE57 J58:AE58 B59:AE59 A3:A41 B40:AD41 A43:A67 F44:O45 B44:C48 F46:J47 AF46:AF59 L47:Q47 F49:J49 B49:B51 F50:H50 F51:I51 L51:P51 B53:J53 B57:J57 B58:H58 AG58:AJ59 B65:J66">
    <cfRule type="expression" dxfId="24" priority="88">
      <formula>$AD3="Y"</formula>
    </cfRule>
  </conditionalFormatting>
  <conditionalFormatting sqref="B39:AL39 AF40:AL41 B43:AL43 AH44:AL46 AG47:AL47 B68:AL1048576 AG49:AJ51 AG53:AJ54 AG56:AJ59 B60:AJ64 L65:AJ66 B67:AJ67 Q44:AF45 L46:AE46 S47:AE47 L49:AE49 J50:AE50 R51:AE51 L53:AE53 B54:AE54 B56:AE56 L57:AE57 J58:AE58 B59:AE59 A2:AM2 A39:A41 B40:AD41 A43:A54 F44:O45 B44:C48 F46:J47 AF46:AF59 L47:Q47 F49:J49 B49:B53 F50:H50 F51:I51 L51:P51 B53:J53 S55:S57 R55:R59 A56:A67 B57:J57 B58:H58 B65:J66">
    <cfRule type="expression" dxfId="23" priority="77">
      <formula>$AD$2:$AD$1048576="Y"</formula>
    </cfRule>
  </conditionalFormatting>
  <conditionalFormatting sqref="B68:AL1048576">
    <cfRule type="expression" dxfId="22" priority="76">
      <formula>$AC69="Y"</formula>
    </cfRule>
  </conditionalFormatting>
  <conditionalFormatting sqref="C52:C54 E52:E54 E56:E67">
    <cfRule type="expression" dxfId="21" priority="41">
      <formula>$AD53="Y"</formula>
    </cfRule>
    <cfRule type="expression" dxfId="20" priority="42">
      <formula>$AD$2:$AD$1048576="Y"</formula>
    </cfRule>
  </conditionalFormatting>
  <conditionalFormatting sqref="L52">
    <cfRule type="expression" dxfId="19" priority="37">
      <formula>#REF!="Y"</formula>
    </cfRule>
    <cfRule type="expression" dxfId="18" priority="38">
      <formula>$AD$2:$AD$1048576="Y"</formula>
    </cfRule>
  </conditionalFormatting>
  <conditionalFormatting sqref="R61:R62">
    <cfRule type="expression" dxfId="17" priority="7">
      <formula>#REF!="Y"</formula>
    </cfRule>
  </conditionalFormatting>
  <conditionalFormatting sqref="S55">
    <cfRule type="expression" dxfId="16" priority="31">
      <formula>$AD56="Y"</formula>
    </cfRule>
  </conditionalFormatting>
  <conditionalFormatting sqref="S60">
    <cfRule type="expression" dxfId="15" priority="9">
      <formula>$AD61="Y"</formula>
    </cfRule>
    <cfRule type="expression" dxfId="14" priority="10">
      <formula>$AD$2:$AD$1048576="Y"</formula>
    </cfRule>
  </conditionalFormatting>
  <conditionalFormatting sqref="S62">
    <cfRule type="expression" dxfId="13" priority="5">
      <formula>$AD63="Y"</formula>
    </cfRule>
  </conditionalFormatting>
  <conditionalFormatting sqref="S64:S67">
    <cfRule type="expression" dxfId="12" priority="3">
      <formula>$AD65="Y"</formula>
    </cfRule>
  </conditionalFormatting>
  <conditionalFormatting sqref="S56:V56">
    <cfRule type="expression" dxfId="11" priority="21">
      <formula>#REF!="Y"</formula>
    </cfRule>
  </conditionalFormatting>
  <conditionalFormatting sqref="S59:V59">
    <cfRule type="expression" dxfId="10" priority="11">
      <formula>#REF!="Y"</formula>
    </cfRule>
  </conditionalFormatting>
  <conditionalFormatting sqref="S61:V61">
    <cfRule type="expression" dxfId="9" priority="6">
      <formula>#REF!="Y"</formula>
    </cfRule>
  </conditionalFormatting>
  <conditionalFormatting sqref="T62:V62">
    <cfRule type="expression" dxfId="8" priority="4">
      <formula>#REF!="Y"</formula>
    </cfRule>
  </conditionalFormatting>
  <conditionalFormatting sqref="X53">
    <cfRule type="expression" dxfId="7" priority="35">
      <formula>#REF!="Y"</formula>
    </cfRule>
  </conditionalFormatting>
  <conditionalFormatting sqref="AE3:AE1048576">
    <cfRule type="expression" dxfId="6" priority="43">
      <formula>AND($AD3="N",$AE3="")</formula>
    </cfRule>
  </conditionalFormatting>
  <conditionalFormatting sqref="AE59">
    <cfRule type="expression" dxfId="5" priority="1">
      <formula>$AD60="Y"</formula>
    </cfRule>
  </conditionalFormatting>
  <conditionalFormatting sqref="AG51:AJ51 R51:AE51 F51:I51 L51:P51">
    <cfRule type="expression" dxfId="4" priority="127">
      <formula>#REF!="Y"</formula>
    </cfRule>
  </conditionalFormatting>
  <conditionalFormatting sqref="AH3:AH57 AH60 AH62:AH1048576">
    <cfRule type="expression" dxfId="3" priority="44">
      <formula>AND($AG3="Y",$AH3="")</formula>
    </cfRule>
  </conditionalFormatting>
  <conditionalFormatting sqref="AK3:AL1048576">
    <cfRule type="cellIs" dxfId="2" priority="45" operator="greaterThan">
      <formula>-30</formula>
    </cfRule>
  </conditionalFormatting>
  <dataValidations count="2">
    <dataValidation type="list" allowBlank="1" showInputMessage="1" showErrorMessage="1" sqref="R3:R60 R63:R1048576" xr:uid="{7A0D56FE-965C-4163-AEB5-E3AE280FFE30}">
      <formula1>"AS PER LA,AS PER LM,EXCL. (AS PER AGREEMENT),INCL IN OFR,INCL IN OTHER SURCHARGE,SEPARATE,SEPARATE: AS PER GA"</formula1>
    </dataValidation>
    <dataValidation type="list" allowBlank="1" showInputMessage="1" showErrorMessage="1" sqref="AG3:AG1048576 AI3:AI1048576 X3:AD1048576" xr:uid="{C71E7E07-7970-4C05-A7B5-6C0D4615DFBD}">
      <formula1>"Y,N"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4E9A3EC2-1255-4F39-98BB-037ABA04BC71}">
          <x14:formula1>
            <xm:f>'FAK-SCHEDULE'!#REF!</xm:f>
          </x14:formula1>
          <xm:sqref>T47:W47 W3:W46 W48:W50 R61:S62 S3:S60 N3:Q1048576 W52:W1048576 S63:S1048576</xm:sqref>
        </x14:dataValidation>
        <x14:dataValidation type="list" allowBlank="1" showInputMessage="1" showErrorMessage="1" xr:uid="{8D32A96D-04E2-4917-9477-B7CA0F180883}">
          <x14:formula1>
            <xm:f>Droplist!$K$2:$K$16</xm:f>
          </x14:formula1>
          <xm:sqref>AE3:AE1048576</xm:sqref>
        </x14:dataValidation>
        <x14:dataValidation type="list" allowBlank="1" showInputMessage="1" showErrorMessage="1" xr:uid="{1AA0C73A-3D91-4F3B-BFD1-E214C3312D0C}">
          <x14:formula1>
            <xm:f>'FAK-SCHEDULE'!$U$3:$U$54</xm:f>
          </x14:formula1>
          <xm:sqref>T3:T46 T48:T1048576</xm:sqref>
        </x14:dataValidation>
        <x14:dataValidation type="list" allowBlank="1" showInputMessage="1" showErrorMessage="1" xr:uid="{C771DC2C-B75F-4C50-B2DA-9006F39DC15C}">
          <x14:formula1>
            <xm:f>'FAK-SCHEDULE'!$V$3:$V$54</xm:f>
          </x14:formula1>
          <xm:sqref>U3:U46 U48:U1048576</xm:sqref>
        </x14:dataValidation>
        <x14:dataValidation type="list" allowBlank="1" showInputMessage="1" showErrorMessage="1" xr:uid="{B1E4DC4B-CE1E-4116-A283-1B20A37659BF}">
          <x14:formula1>
            <xm:f>'FAK-SCHEDULE'!$W$3:$W$54</xm:f>
          </x14:formula1>
          <xm:sqref>V3:V46 V48:V1048576 W51</xm:sqref>
        </x14:dataValidation>
        <x14:dataValidation type="list" allowBlank="1" showInputMessage="1" showErrorMessage="1" xr:uid="{55197A98-34E8-4646-96C6-428C3FB7DEF7}">
          <x14:formula1>
            <xm:f>Droplist!$A$2:$A$1048576</xm:f>
          </x14:formula1>
          <xm:sqref>F3:F1048576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F706-6FF6-4B20-84D5-38DC8B61CFFE}">
  <sheetPr>
    <tabColor rgb="FF002060"/>
  </sheetPr>
  <dimension ref="A1:V374"/>
  <sheetViews>
    <sheetView workbookViewId="0">
      <pane ySplit="1" topLeftCell="A2" activePane="bottomLeft" state="frozen"/>
      <selection activeCell="A2" sqref="A2"/>
      <selection pane="bottomLeft" activeCell="A2" sqref="A2"/>
    </sheetView>
  </sheetViews>
  <sheetFormatPr defaultRowHeight="15" x14ac:dyDescent="0.25"/>
  <cols>
    <col min="4" max="4" width="17.85546875" bestFit="1" customWidth="1"/>
    <col min="5" max="5" width="15.140625" customWidth="1"/>
    <col min="6" max="6" width="21.42578125" customWidth="1"/>
    <col min="7" max="9" width="11.7109375" customWidth="1"/>
    <col min="10" max="10" width="16.85546875" customWidth="1"/>
    <col min="11" max="11" width="13.5703125" customWidth="1"/>
    <col min="12" max="12" width="17.7109375" customWidth="1"/>
    <col min="13" max="13" width="20" customWidth="1"/>
    <col min="14" max="14" width="31.140625" customWidth="1"/>
    <col min="15" max="15" width="17.5703125" customWidth="1"/>
    <col min="16" max="16" width="9.140625" customWidth="1"/>
    <col min="17" max="17" width="16.5703125" style="27" customWidth="1"/>
    <col min="18" max="18" width="18.5703125" customWidth="1"/>
    <col min="19" max="19" width="30.42578125" customWidth="1"/>
    <col min="20" max="20" width="13.5703125" customWidth="1"/>
    <col min="21" max="21" width="17.7109375" customWidth="1"/>
    <col min="22" max="22" width="108.140625" style="34" customWidth="1"/>
  </cols>
  <sheetData>
    <row r="1" spans="1:22" s="17" customFormat="1" ht="33.75" x14ac:dyDescent="0.25">
      <c r="A1" s="1" t="s">
        <v>244</v>
      </c>
      <c r="B1" s="1" t="s">
        <v>245</v>
      </c>
      <c r="C1" s="1" t="s">
        <v>246</v>
      </c>
      <c r="D1" s="1" t="s">
        <v>5</v>
      </c>
      <c r="E1" s="1" t="s">
        <v>151</v>
      </c>
      <c r="F1" s="1" t="s">
        <v>247</v>
      </c>
      <c r="G1" s="26" t="s">
        <v>248</v>
      </c>
      <c r="H1" s="26" t="s">
        <v>12</v>
      </c>
      <c r="I1" s="26" t="s">
        <v>13</v>
      </c>
      <c r="J1" s="1" t="s">
        <v>7</v>
      </c>
      <c r="K1" s="1" t="s">
        <v>249</v>
      </c>
      <c r="L1" s="1" t="s">
        <v>250</v>
      </c>
      <c r="M1" s="1" t="s">
        <v>251</v>
      </c>
      <c r="N1" s="1" t="s">
        <v>252</v>
      </c>
      <c r="O1" s="1" t="s">
        <v>253</v>
      </c>
      <c r="P1" s="1" t="s">
        <v>254</v>
      </c>
      <c r="Q1" s="12" t="s">
        <v>255</v>
      </c>
      <c r="R1" s="1" t="s">
        <v>256</v>
      </c>
      <c r="S1" s="1" t="s">
        <v>257</v>
      </c>
      <c r="T1" s="1" t="s">
        <v>258</v>
      </c>
      <c r="U1" s="1" t="s">
        <v>259</v>
      </c>
      <c r="V1" s="1" t="s">
        <v>260</v>
      </c>
    </row>
    <row r="2" spans="1:22" x14ac:dyDescent="0.25">
      <c r="A2" s="7">
        <v>882</v>
      </c>
      <c r="B2" s="7">
        <v>2025</v>
      </c>
      <c r="C2" s="7" t="s">
        <v>261</v>
      </c>
      <c r="D2" s="7" t="s">
        <v>55</v>
      </c>
      <c r="E2" s="7" t="s">
        <v>262</v>
      </c>
      <c r="F2" s="7" t="s">
        <v>263</v>
      </c>
      <c r="G2" s="18">
        <v>45575</v>
      </c>
      <c r="H2" s="18">
        <v>45658</v>
      </c>
      <c r="I2" s="18">
        <v>46022</v>
      </c>
      <c r="J2" s="7" t="str">
        <f>VLOOKUP(D2,Droplist!A:C,3,0)</f>
        <v>Mette B. Karapetian</v>
      </c>
      <c r="K2" s="7" t="s">
        <v>262</v>
      </c>
      <c r="L2" s="7" t="s">
        <v>264</v>
      </c>
      <c r="M2" s="7" t="str">
        <f t="shared" ref="M2:M65" si="0">IF(L2&lt;&gt;"AWARDED",L2,IF(NOT(ISNUMBER(T2)),L2,IF(T2&gt;=700,"PRIME",IF(T2&gt;=250,"MAINTENANCE",L2))))</f>
        <v>MAINTENANCE</v>
      </c>
      <c r="N2" s="7"/>
      <c r="O2" s="7">
        <v>6900</v>
      </c>
      <c r="P2" s="7">
        <v>396</v>
      </c>
      <c r="Q2" s="13">
        <f>O2/P2</f>
        <v>17.424242424242426</v>
      </c>
      <c r="R2" s="7" t="s">
        <v>265</v>
      </c>
      <c r="S2" s="7" t="s">
        <v>265</v>
      </c>
      <c r="T2" s="7">
        <v>540.42999999999995</v>
      </c>
      <c r="U2" s="7"/>
      <c r="V2" s="9" t="s">
        <v>266</v>
      </c>
    </row>
    <row r="3" spans="1:22" x14ac:dyDescent="0.25">
      <c r="A3" s="7">
        <v>883</v>
      </c>
      <c r="B3" s="7">
        <v>2025</v>
      </c>
      <c r="C3" s="7" t="s">
        <v>261</v>
      </c>
      <c r="D3" s="7" t="s">
        <v>55</v>
      </c>
      <c r="E3" s="7" t="s">
        <v>220</v>
      </c>
      <c r="F3" s="7" t="s">
        <v>263</v>
      </c>
      <c r="G3" s="18">
        <v>45581</v>
      </c>
      <c r="H3" s="18">
        <v>45658</v>
      </c>
      <c r="I3" s="18">
        <v>46022</v>
      </c>
      <c r="J3" s="7" t="str">
        <f>VLOOKUP(D3,Droplist!A:C,3,0)</f>
        <v>Mette B. Karapetian</v>
      </c>
      <c r="K3" s="7"/>
      <c r="L3" s="7" t="s">
        <v>267</v>
      </c>
      <c r="M3" s="7" t="str">
        <f t="shared" si="0"/>
        <v>NOT AWARDED</v>
      </c>
      <c r="N3" s="7" t="s">
        <v>268</v>
      </c>
      <c r="O3" s="7">
        <v>9352</v>
      </c>
      <c r="P3" s="7">
        <v>283</v>
      </c>
      <c r="Q3" s="13">
        <f t="shared" ref="Q3:Q66" si="1">O3/P3</f>
        <v>33.045936395759718</v>
      </c>
      <c r="R3" s="7"/>
      <c r="S3" s="7"/>
      <c r="T3" s="7">
        <v>10.459999999999999</v>
      </c>
      <c r="U3" s="7"/>
      <c r="V3" s="9"/>
    </row>
    <row r="4" spans="1:22" x14ac:dyDescent="0.25">
      <c r="A4" s="7">
        <v>884</v>
      </c>
      <c r="B4" s="7">
        <v>2025</v>
      </c>
      <c r="C4" s="7" t="s">
        <v>261</v>
      </c>
      <c r="D4" s="7" t="s">
        <v>226</v>
      </c>
      <c r="E4" s="7" t="s">
        <v>262</v>
      </c>
      <c r="F4" s="7" t="s">
        <v>269</v>
      </c>
      <c r="G4" s="18">
        <v>45574</v>
      </c>
      <c r="H4" s="18">
        <v>45658</v>
      </c>
      <c r="I4" s="18">
        <v>46022</v>
      </c>
      <c r="J4" s="7" t="str">
        <f>VLOOKUP(D4,Droplist!A:C,3,0)</f>
        <v>Martin Schulz</v>
      </c>
      <c r="K4" s="7"/>
      <c r="L4" s="7" t="s">
        <v>267</v>
      </c>
      <c r="M4" s="7" t="str">
        <f t="shared" si="0"/>
        <v>NOT AWARDED</v>
      </c>
      <c r="N4" s="7" t="s">
        <v>268</v>
      </c>
      <c r="O4" s="7">
        <v>19342</v>
      </c>
      <c r="P4" s="7">
        <v>187</v>
      </c>
      <c r="Q4" s="13">
        <f t="shared" si="1"/>
        <v>103.43315508021391</v>
      </c>
      <c r="R4" s="7"/>
      <c r="S4" s="7"/>
      <c r="T4" s="7">
        <v>32.685000000000002</v>
      </c>
      <c r="U4" s="7"/>
      <c r="V4" s="9" t="s">
        <v>270</v>
      </c>
    </row>
    <row r="5" spans="1:22" ht="23.25" x14ac:dyDescent="0.25">
      <c r="A5" s="7">
        <v>885</v>
      </c>
      <c r="B5" s="7">
        <v>2025</v>
      </c>
      <c r="C5" s="7" t="s">
        <v>261</v>
      </c>
      <c r="D5" s="7" t="s">
        <v>84</v>
      </c>
      <c r="E5" s="7" t="s">
        <v>271</v>
      </c>
      <c r="F5" s="7" t="s">
        <v>269</v>
      </c>
      <c r="G5" s="18">
        <v>45923</v>
      </c>
      <c r="H5" s="18">
        <v>45931</v>
      </c>
      <c r="I5" s="18">
        <v>46053</v>
      </c>
      <c r="J5" s="7" t="str">
        <f>VLOOKUP(D5,Droplist!A:C,3,0)</f>
        <v>Martin Schulz</v>
      </c>
      <c r="K5" s="7" t="s">
        <v>271</v>
      </c>
      <c r="L5" s="7" t="s">
        <v>264</v>
      </c>
      <c r="M5" s="7" t="str">
        <f t="shared" si="0"/>
        <v>PRIME</v>
      </c>
      <c r="N5" s="7"/>
      <c r="O5" s="7">
        <v>1230.45</v>
      </c>
      <c r="P5" s="7">
        <v>72</v>
      </c>
      <c r="Q5" s="13">
        <f t="shared" si="1"/>
        <v>17.089583333333334</v>
      </c>
      <c r="R5" s="7">
        <v>1230</v>
      </c>
      <c r="S5" s="7">
        <v>107</v>
      </c>
      <c r="T5" s="7">
        <v>918.25100000000009</v>
      </c>
      <c r="U5" s="7">
        <v>45.171999999999997</v>
      </c>
      <c r="V5" s="9" t="s">
        <v>272</v>
      </c>
    </row>
    <row r="6" spans="1:22" x14ac:dyDescent="0.25">
      <c r="A6" s="7">
        <v>909</v>
      </c>
      <c r="B6" s="7">
        <v>2025</v>
      </c>
      <c r="C6" s="7" t="s">
        <v>261</v>
      </c>
      <c r="D6" s="7" t="s">
        <v>80</v>
      </c>
      <c r="E6" s="7" t="s">
        <v>273</v>
      </c>
      <c r="F6" s="7" t="s">
        <v>269</v>
      </c>
      <c r="G6" s="18">
        <v>45665</v>
      </c>
      <c r="H6" s="18">
        <v>45689</v>
      </c>
      <c r="I6" s="18">
        <v>45747</v>
      </c>
      <c r="J6" s="7" t="str">
        <f>VLOOKUP(D6,Droplist!A:C,3,0)</f>
        <v>Jens Pottschul</v>
      </c>
      <c r="K6" s="7"/>
      <c r="L6" s="7" t="s">
        <v>267</v>
      </c>
      <c r="M6" s="7" t="str">
        <f t="shared" si="0"/>
        <v>NOT AWARDED</v>
      </c>
      <c r="N6" s="7" t="s">
        <v>268</v>
      </c>
      <c r="O6" s="7">
        <v>4847</v>
      </c>
      <c r="P6" s="7">
        <v>202</v>
      </c>
      <c r="Q6" s="13">
        <f t="shared" si="1"/>
        <v>23.995049504950494</v>
      </c>
      <c r="R6" s="7"/>
      <c r="S6" s="7"/>
      <c r="T6" s="7"/>
      <c r="U6" s="7"/>
      <c r="V6" s="9"/>
    </row>
    <row r="7" spans="1:22" x14ac:dyDescent="0.25">
      <c r="A7" s="7">
        <v>933</v>
      </c>
      <c r="B7" s="7">
        <v>2025</v>
      </c>
      <c r="C7" s="7" t="s">
        <v>261</v>
      </c>
      <c r="D7" s="7" t="s">
        <v>234</v>
      </c>
      <c r="E7" s="7" t="s">
        <v>274</v>
      </c>
      <c r="F7" s="7" t="s">
        <v>275</v>
      </c>
      <c r="G7" s="18">
        <v>45622</v>
      </c>
      <c r="H7" s="18">
        <v>45658</v>
      </c>
      <c r="I7" s="18">
        <v>45838</v>
      </c>
      <c r="J7" s="7" t="str">
        <f>VLOOKUP(D7,Droplist!A:C,3,0)</f>
        <v>Chris Crowder</v>
      </c>
      <c r="K7" s="7"/>
      <c r="L7" s="7" t="s">
        <v>267</v>
      </c>
      <c r="M7" s="7" t="str">
        <f t="shared" si="0"/>
        <v>NOT AWARDED</v>
      </c>
      <c r="N7" s="7" t="s">
        <v>268</v>
      </c>
      <c r="O7" s="7">
        <v>975</v>
      </c>
      <c r="P7" s="7">
        <v>10</v>
      </c>
      <c r="Q7" s="13">
        <f t="shared" si="1"/>
        <v>97.5</v>
      </c>
      <c r="R7" s="7"/>
      <c r="S7" s="7"/>
      <c r="T7" s="7"/>
      <c r="U7" s="7"/>
      <c r="V7" s="9"/>
    </row>
    <row r="8" spans="1:22" x14ac:dyDescent="0.25">
      <c r="A8" s="7">
        <v>934</v>
      </c>
      <c r="B8" s="7">
        <v>2025</v>
      </c>
      <c r="C8" s="7" t="s">
        <v>261</v>
      </c>
      <c r="D8" s="7" t="s">
        <v>48</v>
      </c>
      <c r="E8" s="7" t="s">
        <v>276</v>
      </c>
      <c r="F8" s="7" t="s">
        <v>263</v>
      </c>
      <c r="G8" s="18">
        <v>45632</v>
      </c>
      <c r="H8" s="18">
        <v>45658</v>
      </c>
      <c r="I8" s="18">
        <v>46022</v>
      </c>
      <c r="J8" s="7" t="str">
        <f>VLOOKUP(D8,Droplist!A:C,3,0)</f>
        <v>Jakob Bluhme</v>
      </c>
      <c r="K8" s="7" t="s">
        <v>276</v>
      </c>
      <c r="L8" s="7" t="s">
        <v>277</v>
      </c>
      <c r="M8" s="7" t="str">
        <f t="shared" si="0"/>
        <v>AWARDED/EXPIRED</v>
      </c>
      <c r="N8" s="7"/>
      <c r="O8" s="7">
        <v>6800</v>
      </c>
      <c r="P8" s="7">
        <v>92</v>
      </c>
      <c r="Q8" s="13">
        <f t="shared" si="1"/>
        <v>73.913043478260875</v>
      </c>
      <c r="R8" s="7">
        <v>417</v>
      </c>
      <c r="S8" s="7">
        <v>35</v>
      </c>
      <c r="T8" s="7">
        <v>130.46199999999999</v>
      </c>
      <c r="U8" s="7">
        <v>6.1319999999999997</v>
      </c>
      <c r="V8" s="9" t="s">
        <v>278</v>
      </c>
    </row>
    <row r="9" spans="1:22" x14ac:dyDescent="0.25">
      <c r="A9" s="7">
        <v>935</v>
      </c>
      <c r="B9" s="7">
        <v>2025</v>
      </c>
      <c r="C9" s="7" t="s">
        <v>261</v>
      </c>
      <c r="D9" s="7" t="s">
        <v>229</v>
      </c>
      <c r="E9" s="7" t="s">
        <v>274</v>
      </c>
      <c r="F9" s="7" t="s">
        <v>269</v>
      </c>
      <c r="G9" s="18">
        <v>45624</v>
      </c>
      <c r="H9" s="18">
        <v>45658</v>
      </c>
      <c r="I9" s="18">
        <v>45838</v>
      </c>
      <c r="J9" s="7" t="e">
        <f>VLOOKUP(D9,Droplist!A:C,3,0)</f>
        <v>#N/A</v>
      </c>
      <c r="K9" s="7"/>
      <c r="L9" s="7" t="s">
        <v>267</v>
      </c>
      <c r="M9" s="7" t="str">
        <f t="shared" si="0"/>
        <v>NOT AWARDED</v>
      </c>
      <c r="N9" s="7" t="s">
        <v>268</v>
      </c>
      <c r="O9" s="7">
        <v>2864</v>
      </c>
      <c r="P9" s="7">
        <v>20</v>
      </c>
      <c r="Q9" s="13">
        <f t="shared" si="1"/>
        <v>143.19999999999999</v>
      </c>
      <c r="R9" s="7"/>
      <c r="S9" s="7"/>
      <c r="T9" s="7"/>
      <c r="U9" s="7"/>
      <c r="V9" s="9" t="s">
        <v>279</v>
      </c>
    </row>
    <row r="10" spans="1:22" x14ac:dyDescent="0.25">
      <c r="A10" s="7">
        <v>937</v>
      </c>
      <c r="B10" s="7">
        <v>2025</v>
      </c>
      <c r="C10" s="7" t="s">
        <v>261</v>
      </c>
      <c r="D10" s="7" t="s">
        <v>80</v>
      </c>
      <c r="E10" s="7" t="s">
        <v>224</v>
      </c>
      <c r="F10" s="7" t="s">
        <v>263</v>
      </c>
      <c r="G10" s="18">
        <v>45904</v>
      </c>
      <c r="H10" s="18">
        <v>45931</v>
      </c>
      <c r="I10" s="18">
        <v>46022</v>
      </c>
      <c r="J10" s="7" t="str">
        <f>VLOOKUP(D10,Droplist!A:C,3,0)</f>
        <v>Jens Pottschul</v>
      </c>
      <c r="K10" s="7" t="s">
        <v>224</v>
      </c>
      <c r="L10" s="7" t="s">
        <v>264</v>
      </c>
      <c r="M10" s="7" t="str">
        <f t="shared" si="0"/>
        <v>PRIME</v>
      </c>
      <c r="N10" s="7"/>
      <c r="O10" s="7">
        <v>2000</v>
      </c>
      <c r="P10" s="7">
        <v>128</v>
      </c>
      <c r="Q10" s="13">
        <f t="shared" si="1"/>
        <v>15.625</v>
      </c>
      <c r="R10" s="7" t="s">
        <v>280</v>
      </c>
      <c r="S10" s="7" t="s">
        <v>280</v>
      </c>
      <c r="T10" s="7">
        <v>2469.9469999999997</v>
      </c>
      <c r="U10" s="7">
        <v>444.07600000000008</v>
      </c>
      <c r="V10" s="9" t="s">
        <v>281</v>
      </c>
    </row>
    <row r="11" spans="1:22" x14ac:dyDescent="0.25">
      <c r="A11" s="7">
        <v>938</v>
      </c>
      <c r="B11" s="7">
        <v>2025</v>
      </c>
      <c r="C11" s="7" t="s">
        <v>261</v>
      </c>
      <c r="D11" s="7" t="s">
        <v>102</v>
      </c>
      <c r="E11" s="7" t="s">
        <v>282</v>
      </c>
      <c r="F11" s="7" t="s">
        <v>263</v>
      </c>
      <c r="G11" s="18">
        <v>45630</v>
      </c>
      <c r="H11" s="18">
        <v>45658</v>
      </c>
      <c r="I11" s="18">
        <v>45747</v>
      </c>
      <c r="J11" s="7" t="str">
        <f>VLOOKUP(D11,Droplist!A:C,3,0)</f>
        <v>Jens Pottschul</v>
      </c>
      <c r="K11" s="7" t="s">
        <v>283</v>
      </c>
      <c r="L11" s="7" t="s">
        <v>277</v>
      </c>
      <c r="M11" s="7" t="str">
        <f t="shared" si="0"/>
        <v>AWARDED/EXPIRED</v>
      </c>
      <c r="N11" s="7"/>
      <c r="O11" s="7">
        <v>2156.73</v>
      </c>
      <c r="P11" s="7">
        <v>57</v>
      </c>
      <c r="Q11" s="13">
        <f t="shared" si="1"/>
        <v>37.837368421052631</v>
      </c>
      <c r="R11" s="7">
        <v>1600</v>
      </c>
      <c r="S11" s="7" t="s">
        <v>280</v>
      </c>
      <c r="T11" s="7">
        <v>341.87900000000008</v>
      </c>
      <c r="U11" s="7"/>
      <c r="V11" s="9" t="s">
        <v>284</v>
      </c>
    </row>
    <row r="12" spans="1:22" x14ac:dyDescent="0.25">
      <c r="A12" s="7">
        <v>939</v>
      </c>
      <c r="B12" s="7">
        <v>2025</v>
      </c>
      <c r="C12" s="7" t="s">
        <v>261</v>
      </c>
      <c r="D12" s="7" t="s">
        <v>68</v>
      </c>
      <c r="E12" s="7" t="s">
        <v>282</v>
      </c>
      <c r="F12" s="7" t="s">
        <v>269</v>
      </c>
      <c r="G12" s="18">
        <v>45630</v>
      </c>
      <c r="H12" s="18">
        <v>45658</v>
      </c>
      <c r="I12" s="18">
        <v>45747</v>
      </c>
      <c r="J12" s="7" t="str">
        <f>VLOOKUP(D12,Droplist!A:C,3,0)</f>
        <v>Mette B. Karapetian</v>
      </c>
      <c r="K12" s="7"/>
      <c r="L12" s="7" t="s">
        <v>267</v>
      </c>
      <c r="M12" s="7" t="str">
        <f t="shared" si="0"/>
        <v>NOT AWARDED</v>
      </c>
      <c r="N12" s="7" t="s">
        <v>285</v>
      </c>
      <c r="O12" s="7">
        <v>1084</v>
      </c>
      <c r="P12" s="7">
        <v>36</v>
      </c>
      <c r="Q12" s="13">
        <f t="shared" si="1"/>
        <v>30.111111111111111</v>
      </c>
      <c r="R12" s="7"/>
      <c r="S12" s="7"/>
      <c r="T12" s="7"/>
      <c r="U12" s="7"/>
      <c r="V12" s="9"/>
    </row>
    <row r="13" spans="1:22" x14ac:dyDescent="0.25">
      <c r="A13" s="7">
        <v>940</v>
      </c>
      <c r="B13" s="7">
        <v>2025</v>
      </c>
      <c r="C13" s="7" t="s">
        <v>261</v>
      </c>
      <c r="D13" s="7" t="s">
        <v>45</v>
      </c>
      <c r="E13" s="7" t="s">
        <v>286</v>
      </c>
      <c r="F13" s="7" t="s">
        <v>269</v>
      </c>
      <c r="G13" s="18">
        <v>45632</v>
      </c>
      <c r="H13" s="18">
        <v>45658</v>
      </c>
      <c r="I13" s="18">
        <v>46022</v>
      </c>
      <c r="J13" s="7" t="str">
        <f>VLOOKUP(D13,Droplist!A:C,3,0)</f>
        <v>Dennis Frankowski</v>
      </c>
      <c r="K13" s="7" t="s">
        <v>286</v>
      </c>
      <c r="L13" s="7" t="s">
        <v>277</v>
      </c>
      <c r="M13" s="7" t="str">
        <f t="shared" si="0"/>
        <v>AWARDED/EXPIRED</v>
      </c>
      <c r="N13" s="7"/>
      <c r="O13" s="7">
        <v>634.82000000000005</v>
      </c>
      <c r="P13" s="7">
        <v>22</v>
      </c>
      <c r="Q13" s="13">
        <f t="shared" si="1"/>
        <v>28.855454545454549</v>
      </c>
      <c r="R13" s="7">
        <v>23</v>
      </c>
      <c r="S13" s="7">
        <v>1</v>
      </c>
      <c r="T13" s="7">
        <v>29.97999999999999</v>
      </c>
      <c r="U13" s="7">
        <v>2.82</v>
      </c>
      <c r="V13" s="9" t="s">
        <v>287</v>
      </c>
    </row>
    <row r="14" spans="1:22" x14ac:dyDescent="0.25">
      <c r="A14" s="7">
        <v>941</v>
      </c>
      <c r="B14" s="7">
        <v>2025</v>
      </c>
      <c r="C14" s="7" t="s">
        <v>261</v>
      </c>
      <c r="D14" s="7" t="s">
        <v>80</v>
      </c>
      <c r="E14" s="7" t="s">
        <v>288</v>
      </c>
      <c r="F14" s="7" t="s">
        <v>263</v>
      </c>
      <c r="G14" s="18">
        <v>45915</v>
      </c>
      <c r="H14" s="18">
        <v>45931</v>
      </c>
      <c r="I14" s="18">
        <v>46022</v>
      </c>
      <c r="J14" s="7" t="str">
        <f>VLOOKUP(D14,Droplist!A:C,3,0)</f>
        <v>Jens Pottschul</v>
      </c>
      <c r="K14" s="7" t="s">
        <v>289</v>
      </c>
      <c r="L14" s="7" t="s">
        <v>264</v>
      </c>
      <c r="M14" s="7" t="str">
        <f t="shared" si="0"/>
        <v>MAINTENANCE</v>
      </c>
      <c r="N14" s="7"/>
      <c r="O14" s="7">
        <v>2314</v>
      </c>
      <c r="P14" s="7">
        <v>737</v>
      </c>
      <c r="Q14" s="13">
        <f t="shared" si="1"/>
        <v>3.1397557666214384</v>
      </c>
      <c r="R14" s="7" t="s">
        <v>280</v>
      </c>
      <c r="S14" s="7" t="s">
        <v>280</v>
      </c>
      <c r="T14" s="7">
        <v>569.0920000000001</v>
      </c>
      <c r="U14" s="7">
        <v>93.383999999999986</v>
      </c>
      <c r="V14" s="9"/>
    </row>
    <row r="15" spans="1:22" x14ac:dyDescent="0.25">
      <c r="A15" s="7">
        <v>942</v>
      </c>
      <c r="B15" s="7">
        <v>2025</v>
      </c>
      <c r="C15" s="7" t="s">
        <v>261</v>
      </c>
      <c r="D15" s="7" t="s">
        <v>290</v>
      </c>
      <c r="E15" s="7" t="s">
        <v>291</v>
      </c>
      <c r="F15" s="7" t="s">
        <v>263</v>
      </c>
      <c r="G15" s="18">
        <v>45701</v>
      </c>
      <c r="H15" s="18">
        <v>45701</v>
      </c>
      <c r="I15" s="18">
        <v>46022</v>
      </c>
      <c r="J15" s="7" t="str">
        <f>VLOOKUP(D15,Droplist!A:C,3,0)</f>
        <v>Jens Pottschul</v>
      </c>
      <c r="K15" s="7" t="s">
        <v>291</v>
      </c>
      <c r="L15" s="7" t="s">
        <v>277</v>
      </c>
      <c r="M15" s="7" t="str">
        <f t="shared" si="0"/>
        <v>AWARDED/EXPIRED</v>
      </c>
      <c r="N15" s="7"/>
      <c r="O15" s="7">
        <v>1346.7139999999999</v>
      </c>
      <c r="P15" s="7">
        <v>100</v>
      </c>
      <c r="Q15" s="13">
        <f t="shared" si="1"/>
        <v>13.467139999999999</v>
      </c>
      <c r="R15" s="7">
        <v>1300</v>
      </c>
      <c r="S15" s="7">
        <v>110</v>
      </c>
      <c r="T15" s="7">
        <v>1148.1950000000006</v>
      </c>
      <c r="U15" s="7">
        <v>220.00899999999993</v>
      </c>
      <c r="V15" s="9"/>
    </row>
    <row r="16" spans="1:22" x14ac:dyDescent="0.25">
      <c r="A16" s="7">
        <v>943</v>
      </c>
      <c r="B16" s="7">
        <v>2025</v>
      </c>
      <c r="C16" s="7" t="s">
        <v>261</v>
      </c>
      <c r="D16" s="7" t="s">
        <v>290</v>
      </c>
      <c r="E16" s="7" t="s">
        <v>292</v>
      </c>
      <c r="F16" s="7" t="s">
        <v>263</v>
      </c>
      <c r="G16" s="18">
        <v>45636</v>
      </c>
      <c r="H16" s="18">
        <v>45658</v>
      </c>
      <c r="I16" s="18">
        <v>46022</v>
      </c>
      <c r="J16" s="7" t="str">
        <f>VLOOKUP(D16,Droplist!A:C,3,0)</f>
        <v>Jens Pottschul</v>
      </c>
      <c r="K16" s="7" t="s">
        <v>292</v>
      </c>
      <c r="L16" s="7" t="s">
        <v>264</v>
      </c>
      <c r="M16" s="7" t="str">
        <f t="shared" si="0"/>
        <v>PRIME</v>
      </c>
      <c r="N16" s="7"/>
      <c r="O16" s="7">
        <v>2903</v>
      </c>
      <c r="P16" s="7">
        <v>64</v>
      </c>
      <c r="Q16" s="13">
        <f t="shared" si="1"/>
        <v>45.359375</v>
      </c>
      <c r="R16" s="7">
        <v>3000</v>
      </c>
      <c r="S16" s="7">
        <v>250</v>
      </c>
      <c r="T16" s="7">
        <v>2656.988000000003</v>
      </c>
      <c r="U16" s="7">
        <v>387.01900000000006</v>
      </c>
      <c r="V16" s="9"/>
    </row>
    <row r="17" spans="1:22" ht="68.25" x14ac:dyDescent="0.25">
      <c r="A17" s="7">
        <v>944</v>
      </c>
      <c r="B17" s="7">
        <v>2025</v>
      </c>
      <c r="C17" s="7" t="s">
        <v>261</v>
      </c>
      <c r="D17" s="7" t="s">
        <v>75</v>
      </c>
      <c r="E17" s="7" t="s">
        <v>293</v>
      </c>
      <c r="F17" s="7" t="s">
        <v>263</v>
      </c>
      <c r="G17" s="18">
        <v>45952</v>
      </c>
      <c r="H17" s="18">
        <v>45962</v>
      </c>
      <c r="I17" s="18">
        <v>46022</v>
      </c>
      <c r="J17" s="7" t="str">
        <f>VLOOKUP(D17,Droplist!A:C,3,0)</f>
        <v>Martin Schulz</v>
      </c>
      <c r="K17" s="7" t="s">
        <v>294</v>
      </c>
      <c r="L17" s="7" t="s">
        <v>264</v>
      </c>
      <c r="M17" s="7" t="str">
        <f t="shared" si="0"/>
        <v>PRIME</v>
      </c>
      <c r="N17" s="7"/>
      <c r="O17" s="7">
        <v>9700</v>
      </c>
      <c r="P17" s="7">
        <v>304</v>
      </c>
      <c r="Q17" s="13">
        <f t="shared" si="1"/>
        <v>31.907894736842106</v>
      </c>
      <c r="R17" s="7">
        <v>6200</v>
      </c>
      <c r="S17" s="7">
        <v>517</v>
      </c>
      <c r="T17" s="7">
        <v>2619.891000000001</v>
      </c>
      <c r="U17" s="7">
        <v>354.4529999999998</v>
      </c>
      <c r="V17" s="9" t="s">
        <v>295</v>
      </c>
    </row>
    <row r="18" spans="1:22" x14ac:dyDescent="0.25">
      <c r="A18" s="7">
        <v>945</v>
      </c>
      <c r="B18" s="7">
        <v>2025</v>
      </c>
      <c r="C18" s="7" t="s">
        <v>296</v>
      </c>
      <c r="D18" s="7" t="s">
        <v>48</v>
      </c>
      <c r="E18" s="7" t="s">
        <v>220</v>
      </c>
      <c r="F18" s="7" t="s">
        <v>263</v>
      </c>
      <c r="G18" s="18">
        <v>45645</v>
      </c>
      <c r="H18" s="18">
        <v>45658</v>
      </c>
      <c r="I18" s="18">
        <v>46022</v>
      </c>
      <c r="J18" s="7" t="str">
        <f>VLOOKUP(D18,Droplist!A:C,3,0)</f>
        <v>Jakob Bluhme</v>
      </c>
      <c r="K18" s="7" t="s">
        <v>297</v>
      </c>
      <c r="L18" s="7" t="s">
        <v>264</v>
      </c>
      <c r="M18" s="7" t="str">
        <f t="shared" si="0"/>
        <v>MAINTENANCE</v>
      </c>
      <c r="N18" s="7" t="s">
        <v>298</v>
      </c>
      <c r="O18" s="7">
        <v>15595</v>
      </c>
      <c r="P18" s="7">
        <v>766</v>
      </c>
      <c r="Q18" s="13">
        <f t="shared" si="1"/>
        <v>20.359007832898172</v>
      </c>
      <c r="R18" s="7">
        <v>1813</v>
      </c>
      <c r="S18" s="7">
        <v>165</v>
      </c>
      <c r="T18" s="7">
        <v>494.62700000000012</v>
      </c>
      <c r="U18" s="7">
        <v>23.459999999999997</v>
      </c>
      <c r="V18" s="9"/>
    </row>
    <row r="19" spans="1:22" ht="34.5" x14ac:dyDescent="0.25">
      <c r="A19" s="7">
        <v>947</v>
      </c>
      <c r="B19" s="7">
        <v>2025</v>
      </c>
      <c r="C19" s="7" t="s">
        <v>261</v>
      </c>
      <c r="D19" s="7" t="s">
        <v>35</v>
      </c>
      <c r="E19" s="7" t="s">
        <v>299</v>
      </c>
      <c r="F19" s="7" t="s">
        <v>263</v>
      </c>
      <c r="G19" s="18">
        <v>45919</v>
      </c>
      <c r="H19" s="18">
        <v>45931</v>
      </c>
      <c r="I19" s="18">
        <v>46022</v>
      </c>
      <c r="J19" s="7" t="str">
        <f>VLOOKUP(D19,Droplist!A:C,3,0)</f>
        <v>Michelle Yu</v>
      </c>
      <c r="K19" s="7" t="s">
        <v>300</v>
      </c>
      <c r="L19" s="7" t="s">
        <v>264</v>
      </c>
      <c r="M19" s="7" t="str">
        <f t="shared" si="0"/>
        <v>AWARDED</v>
      </c>
      <c r="N19" s="7"/>
      <c r="O19" s="7">
        <v>500</v>
      </c>
      <c r="P19" s="7">
        <v>155</v>
      </c>
      <c r="Q19" s="13">
        <f t="shared" si="1"/>
        <v>3.225806451612903</v>
      </c>
      <c r="R19" s="7">
        <v>500</v>
      </c>
      <c r="S19" s="7" t="s">
        <v>301</v>
      </c>
      <c r="T19" s="7">
        <v>52.456999999999994</v>
      </c>
      <c r="U19" s="7">
        <v>2.516</v>
      </c>
      <c r="V19" s="9" t="s">
        <v>302</v>
      </c>
    </row>
    <row r="20" spans="1:22" ht="34.5" x14ac:dyDescent="0.25">
      <c r="A20" s="7">
        <v>948</v>
      </c>
      <c r="B20" s="7">
        <v>2025</v>
      </c>
      <c r="C20" s="7" t="s">
        <v>261</v>
      </c>
      <c r="D20" s="7" t="s">
        <v>75</v>
      </c>
      <c r="E20" s="7" t="s">
        <v>303</v>
      </c>
      <c r="F20" s="7" t="s">
        <v>263</v>
      </c>
      <c r="G20" s="18">
        <v>45932</v>
      </c>
      <c r="H20" s="18">
        <v>45932</v>
      </c>
      <c r="I20" s="18">
        <v>46022</v>
      </c>
      <c r="J20" s="7" t="str">
        <f>VLOOKUP(D20,Droplist!A:C,3,0)</f>
        <v>Martin Schulz</v>
      </c>
      <c r="K20" s="7" t="s">
        <v>303</v>
      </c>
      <c r="L20" s="7" t="s">
        <v>264</v>
      </c>
      <c r="M20" s="7" t="str">
        <f t="shared" si="0"/>
        <v>MAINTENANCE</v>
      </c>
      <c r="N20" s="7"/>
      <c r="O20" s="7">
        <v>14294</v>
      </c>
      <c r="P20" s="7">
        <v>594</v>
      </c>
      <c r="Q20" s="13">
        <f t="shared" si="1"/>
        <v>24.063973063973062</v>
      </c>
      <c r="R20" s="7">
        <v>1400</v>
      </c>
      <c r="S20" s="7">
        <v>116</v>
      </c>
      <c r="T20" s="7">
        <v>446.80299999999994</v>
      </c>
      <c r="U20" s="7">
        <v>95.588999999999999</v>
      </c>
      <c r="V20" s="9" t="s">
        <v>304</v>
      </c>
    </row>
    <row r="21" spans="1:22" x14ac:dyDescent="0.25">
      <c r="A21" s="7">
        <v>949</v>
      </c>
      <c r="B21" s="7">
        <v>2025</v>
      </c>
      <c r="C21" s="7" t="s">
        <v>261</v>
      </c>
      <c r="D21" s="7" t="s">
        <v>87</v>
      </c>
      <c r="E21" s="7" t="s">
        <v>305</v>
      </c>
      <c r="F21" s="7" t="s">
        <v>263</v>
      </c>
      <c r="G21" s="18">
        <v>45645</v>
      </c>
      <c r="H21" s="18">
        <v>45658</v>
      </c>
      <c r="I21" s="18">
        <v>45747</v>
      </c>
      <c r="J21" s="7" t="str">
        <f>VLOOKUP(D21,Droplist!A:C,3,0)</f>
        <v>Martin Schulz</v>
      </c>
      <c r="K21" s="7"/>
      <c r="L21" s="7" t="s">
        <v>267</v>
      </c>
      <c r="M21" s="7" t="str">
        <f t="shared" si="0"/>
        <v>NOT AWARDED</v>
      </c>
      <c r="N21" s="7" t="s">
        <v>306</v>
      </c>
      <c r="O21" s="7">
        <v>3779.1</v>
      </c>
      <c r="P21" s="7">
        <v>125</v>
      </c>
      <c r="Q21" s="13">
        <f t="shared" si="1"/>
        <v>30.232800000000001</v>
      </c>
      <c r="R21" s="7"/>
      <c r="S21" s="7"/>
      <c r="T21" s="7"/>
      <c r="U21" s="7"/>
      <c r="V21" s="9"/>
    </row>
    <row r="22" spans="1:22" x14ac:dyDescent="0.25">
      <c r="A22" s="7">
        <v>950</v>
      </c>
      <c r="B22" s="7">
        <v>2025</v>
      </c>
      <c r="C22" s="7" t="s">
        <v>261</v>
      </c>
      <c r="D22" s="7" t="s">
        <v>234</v>
      </c>
      <c r="E22" s="7" t="s">
        <v>241</v>
      </c>
      <c r="F22" s="7" t="s">
        <v>307</v>
      </c>
      <c r="G22" s="18">
        <v>45950</v>
      </c>
      <c r="H22" s="18">
        <v>45951</v>
      </c>
      <c r="I22" s="18">
        <v>46022</v>
      </c>
      <c r="J22" s="7" t="str">
        <f>VLOOKUP(D22,Droplist!A:C,3,0)</f>
        <v>Chris Crowder</v>
      </c>
      <c r="K22" s="7" t="s">
        <v>241</v>
      </c>
      <c r="L22" s="7" t="s">
        <v>264</v>
      </c>
      <c r="M22" s="7" t="str">
        <f t="shared" si="0"/>
        <v>PRIME</v>
      </c>
      <c r="N22" s="7"/>
      <c r="O22" s="7">
        <v>14661</v>
      </c>
      <c r="P22" s="7">
        <v>107</v>
      </c>
      <c r="Q22" s="13">
        <f t="shared" si="1"/>
        <v>137.01869158878506</v>
      </c>
      <c r="R22" s="7">
        <v>14660</v>
      </c>
      <c r="S22" s="7">
        <v>900</v>
      </c>
      <c r="T22" s="7">
        <v>2044.6520000000007</v>
      </c>
      <c r="U22" s="7">
        <v>245.94500000000008</v>
      </c>
      <c r="V22" s="9" t="s">
        <v>308</v>
      </c>
    </row>
    <row r="23" spans="1:22" x14ac:dyDescent="0.25">
      <c r="A23" s="7">
        <v>951</v>
      </c>
      <c r="B23" s="7">
        <v>2025</v>
      </c>
      <c r="C23" s="7" t="s">
        <v>261</v>
      </c>
      <c r="D23" s="7" t="s">
        <v>207</v>
      </c>
      <c r="E23" s="7" t="s">
        <v>309</v>
      </c>
      <c r="F23" s="7" t="s">
        <v>269</v>
      </c>
      <c r="G23" s="18">
        <v>45643</v>
      </c>
      <c r="H23" s="18">
        <v>45658</v>
      </c>
      <c r="I23" s="18">
        <v>46022</v>
      </c>
      <c r="J23" s="7" t="str">
        <f>VLOOKUP(D23,Droplist!A:C,3,0)</f>
        <v>Jens Pottschul</v>
      </c>
      <c r="K23" s="7"/>
      <c r="L23" s="7" t="s">
        <v>267</v>
      </c>
      <c r="M23" s="7" t="str">
        <f t="shared" si="0"/>
        <v>NOT AWARDED</v>
      </c>
      <c r="N23" s="7" t="s">
        <v>268</v>
      </c>
      <c r="O23" s="7">
        <v>800</v>
      </c>
      <c r="P23" s="7">
        <v>10</v>
      </c>
      <c r="Q23" s="13">
        <f t="shared" si="1"/>
        <v>80</v>
      </c>
      <c r="R23" s="7"/>
      <c r="S23" s="7"/>
      <c r="T23" s="7">
        <v>364.04400000000004</v>
      </c>
      <c r="U23" s="7">
        <v>36.457000000000001</v>
      </c>
      <c r="V23" s="9" t="s">
        <v>310</v>
      </c>
    </row>
    <row r="24" spans="1:22" x14ac:dyDescent="0.25">
      <c r="A24" s="7">
        <v>952</v>
      </c>
      <c r="B24" s="7">
        <v>2025</v>
      </c>
      <c r="C24" s="7" t="s">
        <v>261</v>
      </c>
      <c r="D24" s="7" t="s">
        <v>48</v>
      </c>
      <c r="E24" s="7" t="s">
        <v>240</v>
      </c>
      <c r="F24" s="7" t="s">
        <v>263</v>
      </c>
      <c r="G24" s="18">
        <v>45215</v>
      </c>
      <c r="H24" s="18">
        <v>45658</v>
      </c>
      <c r="I24" s="18">
        <v>45747</v>
      </c>
      <c r="J24" s="7" t="str">
        <f>VLOOKUP(D24,Droplist!A:C,3,0)</f>
        <v>Jakob Bluhme</v>
      </c>
      <c r="K24" s="7" t="s">
        <v>240</v>
      </c>
      <c r="L24" s="7" t="s">
        <v>277</v>
      </c>
      <c r="M24" s="7" t="str">
        <f t="shared" si="0"/>
        <v>AWARDED/EXPIRED</v>
      </c>
      <c r="N24" s="7"/>
      <c r="O24" s="7">
        <v>262</v>
      </c>
      <c r="P24" s="7">
        <v>31</v>
      </c>
      <c r="Q24" s="13">
        <f t="shared" si="1"/>
        <v>8.4516129032258061</v>
      </c>
      <c r="R24" s="7">
        <v>5000</v>
      </c>
      <c r="S24" s="7">
        <v>416.66666666666669</v>
      </c>
      <c r="T24" s="7">
        <v>89.023999999999987</v>
      </c>
      <c r="U24" s="7"/>
      <c r="V24" s="9" t="s">
        <v>311</v>
      </c>
    </row>
    <row r="25" spans="1:22" x14ac:dyDescent="0.25">
      <c r="A25" s="7">
        <v>953</v>
      </c>
      <c r="B25" s="7">
        <v>2025</v>
      </c>
      <c r="C25" s="7" t="s">
        <v>261</v>
      </c>
      <c r="D25" s="7" t="s">
        <v>48</v>
      </c>
      <c r="E25" s="7" t="s">
        <v>312</v>
      </c>
      <c r="F25" s="7" t="s">
        <v>263</v>
      </c>
      <c r="G25" s="18">
        <v>45952</v>
      </c>
      <c r="H25" s="18">
        <v>45962</v>
      </c>
      <c r="I25" s="18">
        <v>46053</v>
      </c>
      <c r="J25" s="7" t="str">
        <f>VLOOKUP(D25,Droplist!A:C,3,0)</f>
        <v>Jakob Bluhme</v>
      </c>
      <c r="K25" s="7" t="s">
        <v>313</v>
      </c>
      <c r="L25" s="7" t="s">
        <v>264</v>
      </c>
      <c r="M25" s="7" t="str">
        <f t="shared" si="0"/>
        <v>PRIME</v>
      </c>
      <c r="N25" s="7"/>
      <c r="O25" s="7">
        <v>1650</v>
      </c>
      <c r="P25" s="7">
        <v>13</v>
      </c>
      <c r="Q25" s="13">
        <f t="shared" si="1"/>
        <v>126.92307692307692</v>
      </c>
      <c r="R25" s="7">
        <v>850</v>
      </c>
      <c r="S25" s="7">
        <v>85</v>
      </c>
      <c r="T25" s="7">
        <v>707.37900000000036</v>
      </c>
      <c r="U25" s="7">
        <v>119.09100000000002</v>
      </c>
      <c r="V25" s="9" t="s">
        <v>314</v>
      </c>
    </row>
    <row r="26" spans="1:22" x14ac:dyDescent="0.25">
      <c r="A26" s="7">
        <v>954</v>
      </c>
      <c r="B26" s="7">
        <v>2025</v>
      </c>
      <c r="C26" s="7" t="s">
        <v>261</v>
      </c>
      <c r="D26" s="7" t="s">
        <v>48</v>
      </c>
      <c r="E26" s="7" t="s">
        <v>315</v>
      </c>
      <c r="F26" s="7" t="s">
        <v>263</v>
      </c>
      <c r="G26" s="18">
        <v>45331</v>
      </c>
      <c r="H26" s="18">
        <v>45658</v>
      </c>
      <c r="I26" s="18">
        <v>45747</v>
      </c>
      <c r="J26" s="7" t="str">
        <f>VLOOKUP(D26,Droplist!A:C,3,0)</f>
        <v>Jakob Bluhme</v>
      </c>
      <c r="K26" s="7" t="s">
        <v>316</v>
      </c>
      <c r="L26" s="7" t="s">
        <v>277</v>
      </c>
      <c r="M26" s="7" t="str">
        <f t="shared" si="0"/>
        <v>AWARDED/EXPIRED</v>
      </c>
      <c r="N26" s="7"/>
      <c r="O26" s="7">
        <v>900</v>
      </c>
      <c r="P26" s="7">
        <v>82</v>
      </c>
      <c r="Q26" s="13">
        <f t="shared" si="1"/>
        <v>10.975609756097562</v>
      </c>
      <c r="R26" s="7" t="s">
        <v>265</v>
      </c>
      <c r="S26" s="7" t="s">
        <v>265</v>
      </c>
      <c r="T26" s="7"/>
      <c r="U26" s="7"/>
      <c r="V26" s="9" t="s">
        <v>311</v>
      </c>
    </row>
    <row r="27" spans="1:22" x14ac:dyDescent="0.25">
      <c r="A27" s="7">
        <v>955</v>
      </c>
      <c r="B27" s="7">
        <v>2025</v>
      </c>
      <c r="C27" s="7" t="s">
        <v>261</v>
      </c>
      <c r="D27" s="7" t="s">
        <v>48</v>
      </c>
      <c r="E27" s="7" t="s">
        <v>317</v>
      </c>
      <c r="F27" s="7" t="s">
        <v>263</v>
      </c>
      <c r="G27" s="18">
        <v>45278</v>
      </c>
      <c r="H27" s="18">
        <v>45658</v>
      </c>
      <c r="I27" s="18">
        <v>45747</v>
      </c>
      <c r="J27" s="7" t="str">
        <f>VLOOKUP(D27,Droplist!A:C,3,0)</f>
        <v>Jakob Bluhme</v>
      </c>
      <c r="K27" s="7" t="s">
        <v>317</v>
      </c>
      <c r="L27" s="7" t="s">
        <v>277</v>
      </c>
      <c r="M27" s="7" t="str">
        <f t="shared" si="0"/>
        <v>AWARDED/EXPIRED</v>
      </c>
      <c r="N27" s="7"/>
      <c r="O27" s="7">
        <v>1657</v>
      </c>
      <c r="P27" s="7">
        <v>16</v>
      </c>
      <c r="Q27" s="13">
        <f t="shared" si="1"/>
        <v>103.5625</v>
      </c>
      <c r="R27" s="7">
        <v>324</v>
      </c>
      <c r="S27" s="7">
        <v>29</v>
      </c>
      <c r="T27" s="7">
        <v>0.374</v>
      </c>
      <c r="U27" s="7"/>
      <c r="V27" s="9" t="s">
        <v>311</v>
      </c>
    </row>
    <row r="28" spans="1:22" x14ac:dyDescent="0.25">
      <c r="A28" s="7">
        <v>956</v>
      </c>
      <c r="B28" s="7">
        <v>2025</v>
      </c>
      <c r="C28" s="7" t="s">
        <v>261</v>
      </c>
      <c r="D28" s="7" t="s">
        <v>48</v>
      </c>
      <c r="E28" s="7" t="s">
        <v>318</v>
      </c>
      <c r="F28" s="7" t="s">
        <v>263</v>
      </c>
      <c r="G28" s="18">
        <v>45278</v>
      </c>
      <c r="H28" s="18">
        <v>45658</v>
      </c>
      <c r="I28" s="18">
        <v>45747</v>
      </c>
      <c r="J28" s="7" t="str">
        <f>VLOOKUP(D28,Droplist!A:C,3,0)</f>
        <v>Jakob Bluhme</v>
      </c>
      <c r="K28" s="7" t="s">
        <v>319</v>
      </c>
      <c r="L28" s="7" t="s">
        <v>277</v>
      </c>
      <c r="M28" s="7" t="str">
        <f t="shared" si="0"/>
        <v>AWARDED/EXPIRED</v>
      </c>
      <c r="N28" s="7"/>
      <c r="O28" s="7">
        <v>896</v>
      </c>
      <c r="P28" s="7">
        <v>23</v>
      </c>
      <c r="Q28" s="13">
        <f t="shared" si="1"/>
        <v>38.956521739130437</v>
      </c>
      <c r="R28" s="7">
        <v>105</v>
      </c>
      <c r="S28" s="7">
        <v>10</v>
      </c>
      <c r="T28" s="7"/>
      <c r="U28" s="7"/>
      <c r="V28" s="9" t="s">
        <v>311</v>
      </c>
    </row>
    <row r="29" spans="1:22" x14ac:dyDescent="0.25">
      <c r="A29" s="7">
        <v>957</v>
      </c>
      <c r="B29" s="7">
        <v>2025</v>
      </c>
      <c r="C29" s="7" t="s">
        <v>261</v>
      </c>
      <c r="D29" s="7" t="s">
        <v>48</v>
      </c>
      <c r="E29" s="7" t="s">
        <v>320</v>
      </c>
      <c r="F29" s="7" t="s">
        <v>263</v>
      </c>
      <c r="G29" s="18">
        <v>45327</v>
      </c>
      <c r="H29" s="18">
        <v>45658</v>
      </c>
      <c r="I29" s="18">
        <v>45747</v>
      </c>
      <c r="J29" s="7" t="str">
        <f>VLOOKUP(D29,Droplist!A:C,3,0)</f>
        <v>Jakob Bluhme</v>
      </c>
      <c r="K29" s="7" t="s">
        <v>320</v>
      </c>
      <c r="L29" s="7" t="s">
        <v>277</v>
      </c>
      <c r="M29" s="7" t="str">
        <f t="shared" si="0"/>
        <v>AWARDED/EXPIRED</v>
      </c>
      <c r="N29" s="7"/>
      <c r="O29" s="7">
        <v>720</v>
      </c>
      <c r="P29" s="7">
        <v>13</v>
      </c>
      <c r="Q29" s="13">
        <f t="shared" si="1"/>
        <v>55.384615384615387</v>
      </c>
      <c r="R29" s="7" t="s">
        <v>265</v>
      </c>
      <c r="S29" s="7" t="s">
        <v>265</v>
      </c>
      <c r="T29" s="7"/>
      <c r="U29" s="7"/>
      <c r="V29" s="9" t="s">
        <v>311</v>
      </c>
    </row>
    <row r="30" spans="1:22" x14ac:dyDescent="0.25">
      <c r="A30" s="7">
        <v>958</v>
      </c>
      <c r="B30" s="7">
        <v>2025</v>
      </c>
      <c r="C30" s="7" t="s">
        <v>296</v>
      </c>
      <c r="D30" s="7" t="s">
        <v>48</v>
      </c>
      <c r="E30" s="7" t="s">
        <v>321</v>
      </c>
      <c r="F30" s="7" t="s">
        <v>263</v>
      </c>
      <c r="G30" s="18">
        <v>45931</v>
      </c>
      <c r="H30" s="18">
        <v>45931</v>
      </c>
      <c r="I30" s="18">
        <v>46053</v>
      </c>
      <c r="J30" s="7" t="str">
        <f>VLOOKUP(D30,Droplist!A:C,3,0)</f>
        <v>Jakob Bluhme</v>
      </c>
      <c r="K30" s="7" t="s">
        <v>321</v>
      </c>
      <c r="L30" s="7" t="s">
        <v>264</v>
      </c>
      <c r="M30" s="7" t="str">
        <f t="shared" si="0"/>
        <v>MAINTENANCE</v>
      </c>
      <c r="N30" s="7"/>
      <c r="O30" s="7">
        <v>12471.03</v>
      </c>
      <c r="P30" s="7">
        <v>774</v>
      </c>
      <c r="Q30" s="13">
        <f t="shared" si="1"/>
        <v>16.112441860465118</v>
      </c>
      <c r="R30" s="7">
        <v>5468.11</v>
      </c>
      <c r="S30" s="7">
        <v>100</v>
      </c>
      <c r="T30" s="7">
        <v>639.05300000000034</v>
      </c>
      <c r="U30" s="7">
        <v>143.80600000000001</v>
      </c>
      <c r="V30" s="9" t="s">
        <v>322</v>
      </c>
    </row>
    <row r="31" spans="1:22" x14ac:dyDescent="0.25">
      <c r="A31" s="7">
        <v>959</v>
      </c>
      <c r="B31" s="7">
        <v>2025</v>
      </c>
      <c r="C31" s="7" t="s">
        <v>261</v>
      </c>
      <c r="D31" s="7" t="s">
        <v>48</v>
      </c>
      <c r="E31" s="7" t="s">
        <v>323</v>
      </c>
      <c r="F31" s="7" t="s">
        <v>263</v>
      </c>
      <c r="G31" s="18">
        <v>45835</v>
      </c>
      <c r="H31" s="18">
        <v>45839</v>
      </c>
      <c r="I31" s="18">
        <v>46053</v>
      </c>
      <c r="J31" s="7" t="str">
        <f>VLOOKUP(D31,Droplist!A:C,3,0)</f>
        <v>Jakob Bluhme</v>
      </c>
      <c r="K31" s="7" t="s">
        <v>323</v>
      </c>
      <c r="L31" s="7" t="s">
        <v>264</v>
      </c>
      <c r="M31" s="7" t="str">
        <f t="shared" si="0"/>
        <v>MAINTENANCE</v>
      </c>
      <c r="N31" s="7"/>
      <c r="O31" s="7">
        <v>4458</v>
      </c>
      <c r="P31" s="7">
        <v>74</v>
      </c>
      <c r="Q31" s="13">
        <f t="shared" si="1"/>
        <v>60.243243243243242</v>
      </c>
      <c r="R31" s="7">
        <v>848</v>
      </c>
      <c r="S31" s="7">
        <v>71</v>
      </c>
      <c r="T31" s="7">
        <v>377.57499999999993</v>
      </c>
      <c r="U31" s="7">
        <v>29.474999999999998</v>
      </c>
      <c r="V31" s="9" t="s">
        <v>314</v>
      </c>
    </row>
    <row r="32" spans="1:22" x14ac:dyDescent="0.25">
      <c r="A32" s="7">
        <v>960</v>
      </c>
      <c r="B32" s="7">
        <v>2025</v>
      </c>
      <c r="C32" s="7" t="s">
        <v>261</v>
      </c>
      <c r="D32" s="7" t="s">
        <v>234</v>
      </c>
      <c r="E32" s="7" t="s">
        <v>235</v>
      </c>
      <c r="F32" s="7" t="s">
        <v>263</v>
      </c>
      <c r="G32" s="18">
        <v>45924</v>
      </c>
      <c r="H32" s="18">
        <v>45931</v>
      </c>
      <c r="I32" s="18">
        <v>46022</v>
      </c>
      <c r="J32" s="7" t="str">
        <f>VLOOKUP(D32,Droplist!A:C,3,0)</f>
        <v>Chris Crowder</v>
      </c>
      <c r="K32" s="7" t="s">
        <v>324</v>
      </c>
      <c r="L32" s="7" t="s">
        <v>264</v>
      </c>
      <c r="M32" s="7" t="str">
        <f t="shared" si="0"/>
        <v>PRIME</v>
      </c>
      <c r="N32" s="7"/>
      <c r="O32" s="7">
        <v>3450</v>
      </c>
      <c r="P32" s="7">
        <v>73</v>
      </c>
      <c r="Q32" s="13">
        <f t="shared" si="1"/>
        <v>47.260273972602739</v>
      </c>
      <c r="R32" s="7" t="s">
        <v>265</v>
      </c>
      <c r="S32" s="7" t="s">
        <v>265</v>
      </c>
      <c r="T32" s="7">
        <v>2939.0579999999977</v>
      </c>
      <c r="U32" s="7">
        <v>318.98599999999999</v>
      </c>
      <c r="V32" s="9" t="s">
        <v>325</v>
      </c>
    </row>
    <row r="33" spans="1:22" x14ac:dyDescent="0.25">
      <c r="A33" s="7">
        <v>961</v>
      </c>
      <c r="B33" s="7">
        <v>2025</v>
      </c>
      <c r="C33" s="7" t="s">
        <v>261</v>
      </c>
      <c r="D33" s="7" t="s">
        <v>234</v>
      </c>
      <c r="E33" s="7" t="s">
        <v>326</v>
      </c>
      <c r="F33" s="7" t="s">
        <v>327</v>
      </c>
      <c r="G33" s="18">
        <v>45924</v>
      </c>
      <c r="H33" s="18">
        <v>45931</v>
      </c>
      <c r="I33" s="18">
        <v>46022</v>
      </c>
      <c r="J33" s="7" t="str">
        <f>VLOOKUP(D33,Droplist!A:C,3,0)</f>
        <v>Chris Crowder</v>
      </c>
      <c r="K33" s="7" t="s">
        <v>326</v>
      </c>
      <c r="L33" s="7" t="s">
        <v>277</v>
      </c>
      <c r="M33" s="7" t="str">
        <f t="shared" si="0"/>
        <v>AWARDED/EXPIRED</v>
      </c>
      <c r="N33" s="7"/>
      <c r="O33" s="7">
        <v>1164</v>
      </c>
      <c r="P33" s="7">
        <v>66</v>
      </c>
      <c r="Q33" s="13">
        <f t="shared" si="1"/>
        <v>17.636363636363637</v>
      </c>
      <c r="R33" s="7">
        <v>1164</v>
      </c>
      <c r="S33" s="7" t="s">
        <v>265</v>
      </c>
      <c r="T33" s="7">
        <v>155.28799999999998</v>
      </c>
      <c r="U33" s="7">
        <v>4.6020000000000003</v>
      </c>
      <c r="V33" s="9" t="s">
        <v>328</v>
      </c>
    </row>
    <row r="34" spans="1:22" x14ac:dyDescent="0.25">
      <c r="A34" s="7">
        <v>973</v>
      </c>
      <c r="B34" s="7">
        <v>2025</v>
      </c>
      <c r="C34" s="7" t="s">
        <v>261</v>
      </c>
      <c r="D34" s="7" t="s">
        <v>101</v>
      </c>
      <c r="E34" s="7" t="s">
        <v>238</v>
      </c>
      <c r="F34" s="7" t="s">
        <v>263</v>
      </c>
      <c r="G34" s="18">
        <v>45838</v>
      </c>
      <c r="H34" s="18">
        <v>45839</v>
      </c>
      <c r="I34" s="18">
        <v>45930</v>
      </c>
      <c r="J34" s="7" t="str">
        <f>VLOOKUP(D34,Droplist!A:C,3,0)</f>
        <v>Jakob Bluhme</v>
      </c>
      <c r="K34" s="7" t="s">
        <v>329</v>
      </c>
      <c r="L34" s="7" t="s">
        <v>264</v>
      </c>
      <c r="M34" s="7" t="str">
        <f t="shared" si="0"/>
        <v>PRIME</v>
      </c>
      <c r="N34" s="7"/>
      <c r="O34" s="7">
        <v>4200</v>
      </c>
      <c r="P34" s="7">
        <v>385</v>
      </c>
      <c r="Q34" s="13">
        <f t="shared" si="1"/>
        <v>10.909090909090908</v>
      </c>
      <c r="R34" s="7">
        <v>1800</v>
      </c>
      <c r="S34" s="7">
        <v>150</v>
      </c>
      <c r="T34" s="7">
        <v>1698.6</v>
      </c>
      <c r="U34" s="7"/>
      <c r="V34" s="9" t="s">
        <v>330</v>
      </c>
    </row>
    <row r="35" spans="1:22" x14ac:dyDescent="0.25">
      <c r="A35" s="7">
        <v>974</v>
      </c>
      <c r="B35" s="7">
        <v>2025</v>
      </c>
      <c r="C35" s="7" t="s">
        <v>261</v>
      </c>
      <c r="D35" s="7" t="s">
        <v>55</v>
      </c>
      <c r="E35" s="7" t="s">
        <v>331</v>
      </c>
      <c r="F35" s="7" t="s">
        <v>269</v>
      </c>
      <c r="G35" s="18">
        <v>45651</v>
      </c>
      <c r="H35" s="18">
        <v>45658</v>
      </c>
      <c r="I35" s="18">
        <v>45747</v>
      </c>
      <c r="J35" s="7" t="str">
        <f>VLOOKUP(D35,Droplist!A:C,3,0)</f>
        <v>Mette B. Karapetian</v>
      </c>
      <c r="K35" s="7"/>
      <c r="L35" s="7" t="s">
        <v>267</v>
      </c>
      <c r="M35" s="7" t="str">
        <f t="shared" si="0"/>
        <v>NOT AWARDED</v>
      </c>
      <c r="N35" s="7" t="s">
        <v>332</v>
      </c>
      <c r="O35" s="7">
        <v>6268</v>
      </c>
      <c r="P35" s="7">
        <v>47</v>
      </c>
      <c r="Q35" s="13">
        <f t="shared" si="1"/>
        <v>133.36170212765958</v>
      </c>
      <c r="R35" s="7"/>
      <c r="S35" s="7"/>
      <c r="T35" s="7">
        <v>6.9430000000000005</v>
      </c>
      <c r="U35" s="7">
        <v>12.068</v>
      </c>
      <c r="V35" s="9"/>
    </row>
    <row r="36" spans="1:22" ht="34.5" x14ac:dyDescent="0.25">
      <c r="A36" s="7">
        <v>975</v>
      </c>
      <c r="B36" s="7">
        <v>2025</v>
      </c>
      <c r="C36" s="7" t="s">
        <v>261</v>
      </c>
      <c r="D36" s="7" t="s">
        <v>75</v>
      </c>
      <c r="E36" s="7" t="s">
        <v>333</v>
      </c>
      <c r="F36" s="7" t="s">
        <v>269</v>
      </c>
      <c r="G36" s="18">
        <v>45659</v>
      </c>
      <c r="H36" s="18">
        <v>45659</v>
      </c>
      <c r="I36" s="18">
        <v>45747</v>
      </c>
      <c r="J36" s="7" t="str">
        <f>VLOOKUP(D36,Droplist!A:C,3,0)</f>
        <v>Martin Schulz</v>
      </c>
      <c r="K36" s="7"/>
      <c r="L36" s="7" t="s">
        <v>267</v>
      </c>
      <c r="M36" s="7" t="str">
        <f t="shared" si="0"/>
        <v>NOT AWARDED</v>
      </c>
      <c r="N36" s="7" t="s">
        <v>334</v>
      </c>
      <c r="O36" s="7">
        <v>1725</v>
      </c>
      <c r="P36" s="7">
        <v>319</v>
      </c>
      <c r="Q36" s="13">
        <f t="shared" si="1"/>
        <v>5.407523510971787</v>
      </c>
      <c r="R36" s="7" t="s">
        <v>335</v>
      </c>
      <c r="S36" s="7"/>
      <c r="T36" s="7"/>
      <c r="U36" s="7"/>
      <c r="V36" s="9" t="s">
        <v>336</v>
      </c>
    </row>
    <row r="37" spans="1:22" x14ac:dyDescent="0.25">
      <c r="A37" s="7">
        <v>976</v>
      </c>
      <c r="B37" s="7">
        <v>2025</v>
      </c>
      <c r="C37" s="7" t="s">
        <v>261</v>
      </c>
      <c r="D37" s="7" t="s">
        <v>84</v>
      </c>
      <c r="E37" s="7" t="s">
        <v>337</v>
      </c>
      <c r="F37" s="7" t="s">
        <v>269</v>
      </c>
      <c r="G37" s="18">
        <v>45664</v>
      </c>
      <c r="H37" s="18">
        <v>45689</v>
      </c>
      <c r="I37" s="18">
        <v>45838</v>
      </c>
      <c r="J37" s="7" t="str">
        <f>VLOOKUP(D37,Droplist!A:C,3,0)</f>
        <v>Martin Schulz</v>
      </c>
      <c r="K37" s="7" t="s">
        <v>337</v>
      </c>
      <c r="L37" s="7" t="s">
        <v>277</v>
      </c>
      <c r="M37" s="7" t="str">
        <f t="shared" si="0"/>
        <v>AWARDED/EXPIRED</v>
      </c>
      <c r="N37" s="7"/>
      <c r="O37" s="7">
        <v>2617</v>
      </c>
      <c r="P37" s="7">
        <v>380</v>
      </c>
      <c r="Q37" s="13">
        <f t="shared" si="1"/>
        <v>6.8868421052631579</v>
      </c>
      <c r="R37" s="7">
        <v>1400</v>
      </c>
      <c r="S37" s="7">
        <v>120</v>
      </c>
      <c r="T37" s="7">
        <v>224.66900000000001</v>
      </c>
      <c r="U37" s="7">
        <v>45.459000000000003</v>
      </c>
      <c r="V37" s="9" t="s">
        <v>338</v>
      </c>
    </row>
    <row r="38" spans="1:22" x14ac:dyDescent="0.25">
      <c r="A38" s="7">
        <v>977</v>
      </c>
      <c r="B38" s="7">
        <v>2025</v>
      </c>
      <c r="C38" s="7" t="s">
        <v>261</v>
      </c>
      <c r="D38" s="7" t="s">
        <v>55</v>
      </c>
      <c r="E38" s="7" t="s">
        <v>339</v>
      </c>
      <c r="F38" s="7" t="s">
        <v>269</v>
      </c>
      <c r="G38" s="18">
        <v>45664</v>
      </c>
      <c r="H38" s="18">
        <v>45665</v>
      </c>
      <c r="I38" s="18">
        <v>45838</v>
      </c>
      <c r="J38" s="7" t="str">
        <f>VLOOKUP(D38,Droplist!A:C,3,0)</f>
        <v>Mette B. Karapetian</v>
      </c>
      <c r="K38" s="7"/>
      <c r="L38" s="7" t="s">
        <v>267</v>
      </c>
      <c r="M38" s="7" t="str">
        <f t="shared" si="0"/>
        <v>NOT AWARDED</v>
      </c>
      <c r="N38" s="7" t="s">
        <v>340</v>
      </c>
      <c r="O38" s="7">
        <v>15325</v>
      </c>
      <c r="P38" s="7">
        <v>290</v>
      </c>
      <c r="Q38" s="13">
        <f t="shared" si="1"/>
        <v>52.844827586206897</v>
      </c>
      <c r="R38" s="7" t="s">
        <v>335</v>
      </c>
      <c r="S38" s="7"/>
      <c r="T38" s="7"/>
      <c r="U38" s="7"/>
      <c r="V38" s="9" t="s">
        <v>341</v>
      </c>
    </row>
    <row r="39" spans="1:22" x14ac:dyDescent="0.25">
      <c r="A39" s="7">
        <v>978</v>
      </c>
      <c r="B39" s="7">
        <v>2025</v>
      </c>
      <c r="C39" s="7" t="s">
        <v>261</v>
      </c>
      <c r="D39" s="7" t="s">
        <v>104</v>
      </c>
      <c r="E39" s="7" t="s">
        <v>191</v>
      </c>
      <c r="F39" s="7" t="s">
        <v>269</v>
      </c>
      <c r="G39" s="18">
        <v>45980</v>
      </c>
      <c r="H39" s="18">
        <v>45992</v>
      </c>
      <c r="I39" s="18">
        <v>46022</v>
      </c>
      <c r="J39" s="7" t="str">
        <f>VLOOKUP(D39,Droplist!A:C,3,0)</f>
        <v>Martin Schulz</v>
      </c>
      <c r="K39" s="7" t="s">
        <v>191</v>
      </c>
      <c r="L39" s="7" t="s">
        <v>264</v>
      </c>
      <c r="M39" s="7" t="str">
        <f t="shared" si="0"/>
        <v>MAINTENANCE</v>
      </c>
      <c r="N39" s="7"/>
      <c r="O39" s="7">
        <v>3308</v>
      </c>
      <c r="P39" s="7">
        <v>107</v>
      </c>
      <c r="Q39" s="13">
        <f t="shared" si="1"/>
        <v>30.915887850467289</v>
      </c>
      <c r="R39" s="7" t="s">
        <v>280</v>
      </c>
      <c r="S39" s="7" t="s">
        <v>280</v>
      </c>
      <c r="T39" s="7">
        <v>273.97699999999992</v>
      </c>
      <c r="U39" s="7"/>
      <c r="V39" s="9"/>
    </row>
    <row r="40" spans="1:22" x14ac:dyDescent="0.25">
      <c r="A40" s="7">
        <v>979</v>
      </c>
      <c r="B40" s="7">
        <v>2025</v>
      </c>
      <c r="C40" s="7" t="s">
        <v>261</v>
      </c>
      <c r="D40" s="7" t="s">
        <v>97</v>
      </c>
      <c r="E40" s="7" t="s">
        <v>180</v>
      </c>
      <c r="F40" s="7" t="s">
        <v>269</v>
      </c>
      <c r="G40" s="18">
        <v>45911</v>
      </c>
      <c r="H40" s="18">
        <v>45911</v>
      </c>
      <c r="I40" s="18">
        <v>46022</v>
      </c>
      <c r="J40" s="7" t="str">
        <f>VLOOKUP(D40,Droplist!A:C,3,0)</f>
        <v>Jakob Bluhme / Tom Hine</v>
      </c>
      <c r="K40" s="7" t="s">
        <v>298</v>
      </c>
      <c r="L40" s="7" t="s">
        <v>267</v>
      </c>
      <c r="M40" s="7" t="str">
        <f t="shared" si="0"/>
        <v>NOT AWARDED</v>
      </c>
      <c r="N40" s="7" t="s">
        <v>342</v>
      </c>
      <c r="O40" s="7">
        <v>6000</v>
      </c>
      <c r="P40" s="7">
        <v>225</v>
      </c>
      <c r="Q40" s="13">
        <f t="shared" si="1"/>
        <v>26.666666666666668</v>
      </c>
      <c r="R40" s="7" t="s">
        <v>335</v>
      </c>
      <c r="S40" s="7"/>
      <c r="T40" s="7"/>
      <c r="U40" s="7"/>
      <c r="V40" s="9" t="s">
        <v>343</v>
      </c>
    </row>
    <row r="41" spans="1:22" x14ac:dyDescent="0.25">
      <c r="A41" s="7">
        <v>980</v>
      </c>
      <c r="B41" s="7">
        <v>2025</v>
      </c>
      <c r="C41" s="7" t="s">
        <v>261</v>
      </c>
      <c r="D41" s="7" t="s">
        <v>55</v>
      </c>
      <c r="E41" s="7" t="s">
        <v>344</v>
      </c>
      <c r="F41" s="7" t="s">
        <v>269</v>
      </c>
      <c r="G41" s="18">
        <v>45666</v>
      </c>
      <c r="H41" s="18">
        <v>45672</v>
      </c>
      <c r="I41" s="18">
        <v>46022</v>
      </c>
      <c r="J41" s="7" t="str">
        <f>VLOOKUP(D41,Droplist!A:C,3,0)</f>
        <v>Mette B. Karapetian</v>
      </c>
      <c r="K41" s="7"/>
      <c r="L41" s="7" t="s">
        <v>267</v>
      </c>
      <c r="M41" s="7" t="str">
        <f t="shared" si="0"/>
        <v>NOT AWARDED</v>
      </c>
      <c r="N41" s="7" t="s">
        <v>268</v>
      </c>
      <c r="O41" s="7">
        <v>1226</v>
      </c>
      <c r="P41" s="7">
        <v>86</v>
      </c>
      <c r="Q41" s="13">
        <f t="shared" si="1"/>
        <v>14.255813953488373</v>
      </c>
      <c r="R41" s="7" t="s">
        <v>335</v>
      </c>
      <c r="S41" s="7"/>
      <c r="T41" s="7"/>
      <c r="U41" s="7"/>
      <c r="V41" s="9"/>
    </row>
    <row r="42" spans="1:22" x14ac:dyDescent="0.25">
      <c r="A42" s="7">
        <v>981</v>
      </c>
      <c r="B42" s="7">
        <v>2025</v>
      </c>
      <c r="C42" s="7" t="s">
        <v>261</v>
      </c>
      <c r="D42" s="7" t="s">
        <v>226</v>
      </c>
      <c r="E42" s="7" t="s">
        <v>233</v>
      </c>
      <c r="F42" s="7" t="s">
        <v>269</v>
      </c>
      <c r="G42" s="18">
        <v>45923</v>
      </c>
      <c r="H42" s="18">
        <v>45931</v>
      </c>
      <c r="I42" s="18">
        <v>46022</v>
      </c>
      <c r="J42" s="7" t="str">
        <f>VLOOKUP(D42,Droplist!A:C,3,0)</f>
        <v>Martin Schulz</v>
      </c>
      <c r="K42" s="7" t="s">
        <v>233</v>
      </c>
      <c r="L42" s="7" t="s">
        <v>264</v>
      </c>
      <c r="M42" s="7" t="str">
        <f t="shared" si="0"/>
        <v>PRIME</v>
      </c>
      <c r="N42" s="7"/>
      <c r="O42" s="7">
        <v>6423</v>
      </c>
      <c r="P42" s="7">
        <v>79</v>
      </c>
      <c r="Q42" s="13">
        <f t="shared" si="1"/>
        <v>81.303797468354432</v>
      </c>
      <c r="R42" s="7">
        <v>6423</v>
      </c>
      <c r="S42" s="7">
        <v>535</v>
      </c>
      <c r="T42" s="7">
        <v>965.35800000000063</v>
      </c>
      <c r="U42" s="7">
        <v>205.12299999999999</v>
      </c>
      <c r="V42" s="9" t="s">
        <v>345</v>
      </c>
    </row>
    <row r="43" spans="1:22" x14ac:dyDescent="0.25">
      <c r="A43" s="7">
        <v>982</v>
      </c>
      <c r="B43" s="7">
        <v>2025</v>
      </c>
      <c r="C43" s="7" t="s">
        <v>261</v>
      </c>
      <c r="D43" s="7" t="s">
        <v>72</v>
      </c>
      <c r="E43" s="7" t="s">
        <v>240</v>
      </c>
      <c r="F43" s="7" t="s">
        <v>269</v>
      </c>
      <c r="G43" s="18">
        <v>45917</v>
      </c>
      <c r="H43" s="18">
        <v>45931</v>
      </c>
      <c r="I43" s="18">
        <v>46022</v>
      </c>
      <c r="J43" s="7" t="str">
        <f>VLOOKUP(D43,Droplist!A:C,3,0)</f>
        <v>Jens Pottschul</v>
      </c>
      <c r="K43" s="7" t="s">
        <v>240</v>
      </c>
      <c r="L43" s="7" t="s">
        <v>264</v>
      </c>
      <c r="M43" s="7" t="str">
        <f t="shared" si="0"/>
        <v>MAINTENANCE</v>
      </c>
      <c r="N43" s="7"/>
      <c r="O43" s="7">
        <v>11202</v>
      </c>
      <c r="P43" s="7">
        <v>75</v>
      </c>
      <c r="Q43" s="13">
        <f t="shared" si="1"/>
        <v>149.36000000000001</v>
      </c>
      <c r="R43" s="7">
        <v>1080</v>
      </c>
      <c r="S43" s="7">
        <v>80</v>
      </c>
      <c r="T43" s="7">
        <v>582.52400000000011</v>
      </c>
      <c r="U43" s="7">
        <v>200.696</v>
      </c>
      <c r="V43" s="9"/>
    </row>
    <row r="44" spans="1:22" x14ac:dyDescent="0.25">
      <c r="A44" s="7">
        <v>983</v>
      </c>
      <c r="B44" s="7">
        <v>2025</v>
      </c>
      <c r="C44" s="7" t="s">
        <v>261</v>
      </c>
      <c r="D44" s="7" t="s">
        <v>185</v>
      </c>
      <c r="E44" s="7" t="s">
        <v>186</v>
      </c>
      <c r="F44" s="7" t="s">
        <v>269</v>
      </c>
      <c r="G44" s="18">
        <v>45848</v>
      </c>
      <c r="H44" s="18">
        <v>45901</v>
      </c>
      <c r="I44" s="18">
        <v>46142</v>
      </c>
      <c r="J44" s="7" t="str">
        <f>VLOOKUP(D44,Droplist!A:C,3,0)</f>
        <v>Jens Pottschul</v>
      </c>
      <c r="K44" s="7" t="s">
        <v>346</v>
      </c>
      <c r="L44" s="7" t="s">
        <v>264</v>
      </c>
      <c r="M44" s="7" t="str">
        <f t="shared" si="0"/>
        <v>AWARDED</v>
      </c>
      <c r="N44" s="7"/>
      <c r="O44" s="7">
        <v>1310</v>
      </c>
      <c r="P44" s="7">
        <v>237</v>
      </c>
      <c r="Q44" s="13">
        <f t="shared" si="1"/>
        <v>5.5274261603375532</v>
      </c>
      <c r="R44" s="7" t="s">
        <v>265</v>
      </c>
      <c r="S44" s="7" t="s">
        <v>265</v>
      </c>
      <c r="T44" s="7">
        <v>88.154000000000011</v>
      </c>
      <c r="U44" s="7"/>
      <c r="V44" s="9" t="s">
        <v>347</v>
      </c>
    </row>
    <row r="45" spans="1:22" x14ac:dyDescent="0.25">
      <c r="A45" s="7">
        <v>984</v>
      </c>
      <c r="B45" s="7">
        <v>2025</v>
      </c>
      <c r="C45" s="7" t="s">
        <v>261</v>
      </c>
      <c r="D45" s="7" t="s">
        <v>77</v>
      </c>
      <c r="E45" s="7" t="s">
        <v>348</v>
      </c>
      <c r="F45" s="7" t="s">
        <v>269</v>
      </c>
      <c r="G45" s="18">
        <v>45671</v>
      </c>
      <c r="H45" s="18">
        <v>45672</v>
      </c>
      <c r="I45" s="18">
        <v>45747</v>
      </c>
      <c r="J45" s="7" t="str">
        <f>VLOOKUP(D45,Droplist!A:C,3,0)</f>
        <v>Martin Schulz</v>
      </c>
      <c r="K45" s="7" t="s">
        <v>298</v>
      </c>
      <c r="L45" s="7" t="s">
        <v>267</v>
      </c>
      <c r="M45" s="7" t="str">
        <f t="shared" si="0"/>
        <v>NOT AWARDED</v>
      </c>
      <c r="N45" s="7" t="s">
        <v>349</v>
      </c>
      <c r="O45" s="7">
        <v>8000</v>
      </c>
      <c r="P45" s="7">
        <v>10</v>
      </c>
      <c r="Q45" s="13">
        <f t="shared" si="1"/>
        <v>800</v>
      </c>
      <c r="R45" s="7" t="s">
        <v>335</v>
      </c>
      <c r="S45" s="7"/>
      <c r="T45" s="7"/>
      <c r="U45" s="7"/>
      <c r="V45" s="9"/>
    </row>
    <row r="46" spans="1:22" x14ac:dyDescent="0.25">
      <c r="A46" s="7">
        <v>985</v>
      </c>
      <c r="B46" s="7">
        <v>2025</v>
      </c>
      <c r="C46" s="7" t="s">
        <v>261</v>
      </c>
      <c r="D46" s="7" t="s">
        <v>80</v>
      </c>
      <c r="E46" s="7" t="s">
        <v>350</v>
      </c>
      <c r="F46" s="7" t="s">
        <v>269</v>
      </c>
      <c r="G46" s="18">
        <v>45673</v>
      </c>
      <c r="H46" s="18">
        <v>45673</v>
      </c>
      <c r="I46" s="18">
        <v>46022</v>
      </c>
      <c r="J46" s="7" t="str">
        <f>VLOOKUP(D46,Droplist!A:C,3,0)</f>
        <v>Jens Pottschul</v>
      </c>
      <c r="K46" s="7"/>
      <c r="L46" s="7" t="s">
        <v>267</v>
      </c>
      <c r="M46" s="7" t="str">
        <f t="shared" si="0"/>
        <v>NOT AWARDED</v>
      </c>
      <c r="N46" s="7" t="s">
        <v>268</v>
      </c>
      <c r="O46" s="7">
        <v>23245</v>
      </c>
      <c r="P46" s="7">
        <v>1157</v>
      </c>
      <c r="Q46" s="13">
        <f t="shared" si="1"/>
        <v>20.090751944684531</v>
      </c>
      <c r="R46" s="7" t="s">
        <v>335</v>
      </c>
      <c r="S46" s="7"/>
      <c r="T46" s="7"/>
      <c r="U46" s="7"/>
      <c r="V46" s="9"/>
    </row>
    <row r="47" spans="1:22" x14ac:dyDescent="0.25">
      <c r="A47" s="7">
        <v>986</v>
      </c>
      <c r="B47" s="7">
        <v>2025</v>
      </c>
      <c r="C47" s="7" t="s">
        <v>261</v>
      </c>
      <c r="D47" s="7" t="s">
        <v>45</v>
      </c>
      <c r="E47" s="7" t="s">
        <v>351</v>
      </c>
      <c r="F47" s="7" t="s">
        <v>269</v>
      </c>
      <c r="G47" s="18">
        <v>45924</v>
      </c>
      <c r="H47" s="18">
        <v>45931</v>
      </c>
      <c r="I47" s="18">
        <v>46022</v>
      </c>
      <c r="J47" s="7" t="str">
        <f>VLOOKUP(D47,Droplist!A:C,3,0)</f>
        <v>Dennis Frankowski</v>
      </c>
      <c r="K47" s="7" t="s">
        <v>351</v>
      </c>
      <c r="L47" s="7" t="s">
        <v>264</v>
      </c>
      <c r="M47" s="7" t="str">
        <f t="shared" si="0"/>
        <v>MAINTENANCE</v>
      </c>
      <c r="N47" s="7"/>
      <c r="O47" s="7">
        <v>19000</v>
      </c>
      <c r="P47" s="7">
        <v>131</v>
      </c>
      <c r="Q47" s="13">
        <f t="shared" si="1"/>
        <v>145.03816793893131</v>
      </c>
      <c r="R47" s="7">
        <v>2400</v>
      </c>
      <c r="S47" s="7">
        <v>200</v>
      </c>
      <c r="T47" s="7">
        <v>511.39100000000025</v>
      </c>
      <c r="U47" s="7">
        <v>37.401000000000003</v>
      </c>
      <c r="V47" s="9" t="s">
        <v>352</v>
      </c>
    </row>
    <row r="48" spans="1:22" ht="57" x14ac:dyDescent="0.25">
      <c r="A48" s="7">
        <v>987</v>
      </c>
      <c r="B48" s="7">
        <v>2025</v>
      </c>
      <c r="C48" s="7" t="s">
        <v>261</v>
      </c>
      <c r="D48" s="7" t="s">
        <v>185</v>
      </c>
      <c r="E48" s="7" t="s">
        <v>353</v>
      </c>
      <c r="F48" s="7" t="s">
        <v>269</v>
      </c>
      <c r="G48" s="18">
        <v>45679</v>
      </c>
      <c r="H48" s="18">
        <v>45679</v>
      </c>
      <c r="I48" s="18">
        <v>45961</v>
      </c>
      <c r="J48" s="7" t="str">
        <f>VLOOKUP(D48,Droplist!A:C,3,0)</f>
        <v>Jens Pottschul</v>
      </c>
      <c r="K48" s="7"/>
      <c r="L48" s="7" t="s">
        <v>267</v>
      </c>
      <c r="M48" s="7" t="str">
        <f t="shared" si="0"/>
        <v>NOT AWARDED</v>
      </c>
      <c r="N48" s="7" t="s">
        <v>354</v>
      </c>
      <c r="O48" s="7">
        <v>60449</v>
      </c>
      <c r="P48" s="7">
        <v>303</v>
      </c>
      <c r="Q48" s="13">
        <f t="shared" si="1"/>
        <v>199.50165016501651</v>
      </c>
      <c r="R48" s="7" t="s">
        <v>335</v>
      </c>
      <c r="S48" s="7"/>
      <c r="T48" s="7"/>
      <c r="U48" s="7"/>
      <c r="V48" s="9" t="s">
        <v>355</v>
      </c>
    </row>
    <row r="49" spans="1:22" ht="23.25" x14ac:dyDescent="0.25">
      <c r="A49" s="7">
        <v>988</v>
      </c>
      <c r="B49" s="7">
        <v>2025</v>
      </c>
      <c r="C49" s="7" t="s">
        <v>261</v>
      </c>
      <c r="D49" s="7" t="s">
        <v>185</v>
      </c>
      <c r="E49" s="7" t="s">
        <v>356</v>
      </c>
      <c r="F49" s="7" t="s">
        <v>269</v>
      </c>
      <c r="G49" s="18">
        <v>45674</v>
      </c>
      <c r="H49" s="18">
        <v>45674</v>
      </c>
      <c r="I49" s="18">
        <v>45838</v>
      </c>
      <c r="J49" s="7" t="str">
        <f>VLOOKUP(D49,Droplist!A:C,3,0)</f>
        <v>Jens Pottschul</v>
      </c>
      <c r="K49" s="7"/>
      <c r="L49" s="7" t="s">
        <v>267</v>
      </c>
      <c r="M49" s="7" t="str">
        <f t="shared" si="0"/>
        <v>NOT AWARDED</v>
      </c>
      <c r="N49" s="7" t="s">
        <v>268</v>
      </c>
      <c r="O49" s="7">
        <v>3280</v>
      </c>
      <c r="P49" s="7">
        <v>43</v>
      </c>
      <c r="Q49" s="13">
        <f t="shared" si="1"/>
        <v>76.279069767441854</v>
      </c>
      <c r="R49" s="7" t="s">
        <v>335</v>
      </c>
      <c r="S49" s="7"/>
      <c r="T49" s="7"/>
      <c r="U49" s="7"/>
      <c r="V49" s="9" t="s">
        <v>357</v>
      </c>
    </row>
    <row r="50" spans="1:22" x14ac:dyDescent="0.25">
      <c r="A50" s="7">
        <v>989</v>
      </c>
      <c r="B50" s="7">
        <v>2025</v>
      </c>
      <c r="C50" s="7" t="s">
        <v>261</v>
      </c>
      <c r="D50" s="7" t="s">
        <v>99</v>
      </c>
      <c r="E50" s="7" t="s">
        <v>358</v>
      </c>
      <c r="F50" s="7" t="s">
        <v>269</v>
      </c>
      <c r="G50" s="18">
        <v>45821</v>
      </c>
      <c r="H50" s="18">
        <v>45839</v>
      </c>
      <c r="I50" s="18">
        <v>46022</v>
      </c>
      <c r="J50" s="7" t="str">
        <f>VLOOKUP(D50,Droplist!A:C,3,0)</f>
        <v>Kevin Taylor</v>
      </c>
      <c r="K50" s="7" t="s">
        <v>358</v>
      </c>
      <c r="L50" s="7" t="s">
        <v>264</v>
      </c>
      <c r="M50" s="7" t="str">
        <f t="shared" si="0"/>
        <v>AWARDED</v>
      </c>
      <c r="N50" s="7"/>
      <c r="O50" s="7">
        <v>964</v>
      </c>
      <c r="P50" s="7">
        <v>63</v>
      </c>
      <c r="Q50" s="13">
        <f t="shared" si="1"/>
        <v>15.301587301587302</v>
      </c>
      <c r="R50" s="7">
        <v>400</v>
      </c>
      <c r="S50" s="7" t="s">
        <v>265</v>
      </c>
      <c r="T50" s="7">
        <v>218.88300000000001</v>
      </c>
      <c r="U50" s="7">
        <v>73.23299999999999</v>
      </c>
      <c r="V50" s="9" t="s">
        <v>359</v>
      </c>
    </row>
    <row r="51" spans="1:22" x14ac:dyDescent="0.25">
      <c r="A51" s="7">
        <v>990</v>
      </c>
      <c r="B51" s="7">
        <v>2025</v>
      </c>
      <c r="C51" s="7" t="s">
        <v>261</v>
      </c>
      <c r="D51" s="7" t="s">
        <v>87</v>
      </c>
      <c r="E51" s="7" t="s">
        <v>360</v>
      </c>
      <c r="F51" s="7" t="s">
        <v>269</v>
      </c>
      <c r="G51" s="18">
        <v>45679</v>
      </c>
      <c r="H51" s="18">
        <v>45679</v>
      </c>
      <c r="I51" s="18">
        <v>45838</v>
      </c>
      <c r="J51" s="7" t="str">
        <f>VLOOKUP(D51,Droplist!A:C,3,0)</f>
        <v>Martin Schulz</v>
      </c>
      <c r="K51" s="7"/>
      <c r="L51" s="7" t="s">
        <v>267</v>
      </c>
      <c r="M51" s="7" t="str">
        <f t="shared" si="0"/>
        <v>NOT AWARDED</v>
      </c>
      <c r="N51" s="7" t="s">
        <v>354</v>
      </c>
      <c r="O51" s="7">
        <v>5800</v>
      </c>
      <c r="P51" s="7">
        <v>36</v>
      </c>
      <c r="Q51" s="13">
        <f t="shared" si="1"/>
        <v>161.11111111111111</v>
      </c>
      <c r="R51" s="7" t="s">
        <v>335</v>
      </c>
      <c r="S51" s="7"/>
      <c r="T51" s="7"/>
      <c r="U51" s="7"/>
      <c r="V51" s="9"/>
    </row>
    <row r="52" spans="1:22" x14ac:dyDescent="0.25">
      <c r="A52" s="7">
        <v>991</v>
      </c>
      <c r="B52" s="7">
        <v>2025</v>
      </c>
      <c r="C52" s="7" t="s">
        <v>261</v>
      </c>
      <c r="D52" s="7" t="s">
        <v>234</v>
      </c>
      <c r="E52" s="7" t="s">
        <v>262</v>
      </c>
      <c r="F52" s="7" t="s">
        <v>263</v>
      </c>
      <c r="G52" s="18">
        <v>45932</v>
      </c>
      <c r="H52" s="18">
        <v>45932</v>
      </c>
      <c r="I52" s="18">
        <v>46022</v>
      </c>
      <c r="J52" s="7" t="str">
        <f>VLOOKUP(D52,Droplist!A:C,3,0)</f>
        <v>Chris Crowder</v>
      </c>
      <c r="K52" s="7" t="s">
        <v>262</v>
      </c>
      <c r="L52" s="7" t="s">
        <v>264</v>
      </c>
      <c r="M52" s="7" t="str">
        <f t="shared" si="0"/>
        <v>MAINTENANCE</v>
      </c>
      <c r="N52" s="7"/>
      <c r="O52" s="7">
        <v>49000</v>
      </c>
      <c r="P52" s="7">
        <v>643</v>
      </c>
      <c r="Q52" s="13">
        <f t="shared" si="1"/>
        <v>76.205287713841372</v>
      </c>
      <c r="R52" s="7">
        <v>4000</v>
      </c>
      <c r="S52" s="7" t="s">
        <v>265</v>
      </c>
      <c r="T52" s="7">
        <v>691.42000000000007</v>
      </c>
      <c r="U52" s="7">
        <v>86.481999999999999</v>
      </c>
      <c r="V52" s="9"/>
    </row>
    <row r="53" spans="1:22" x14ac:dyDescent="0.25">
      <c r="A53" s="7">
        <v>992</v>
      </c>
      <c r="B53" s="7">
        <v>2025</v>
      </c>
      <c r="C53" s="7" t="s">
        <v>261</v>
      </c>
      <c r="D53" s="7" t="s">
        <v>75</v>
      </c>
      <c r="E53" s="7" t="s">
        <v>353</v>
      </c>
      <c r="F53" s="7" t="s">
        <v>269</v>
      </c>
      <c r="G53" s="18">
        <v>45679</v>
      </c>
      <c r="H53" s="18">
        <v>45679</v>
      </c>
      <c r="I53" s="18">
        <v>45961</v>
      </c>
      <c r="J53" s="7" t="str">
        <f>VLOOKUP(D53,Droplist!A:C,3,0)</f>
        <v>Martin Schulz</v>
      </c>
      <c r="K53" s="7"/>
      <c r="L53" s="7" t="s">
        <v>267</v>
      </c>
      <c r="M53" s="7" t="str">
        <f t="shared" si="0"/>
        <v>NOT AWARDED</v>
      </c>
      <c r="N53" s="7" t="s">
        <v>268</v>
      </c>
      <c r="O53" s="7">
        <v>60448</v>
      </c>
      <c r="P53" s="7">
        <v>303</v>
      </c>
      <c r="Q53" s="13">
        <f t="shared" si="1"/>
        <v>199.49834983498349</v>
      </c>
      <c r="R53" s="7" t="s">
        <v>335</v>
      </c>
      <c r="S53" s="7"/>
      <c r="T53" s="7"/>
      <c r="U53" s="7"/>
      <c r="V53" s="9" t="s">
        <v>361</v>
      </c>
    </row>
    <row r="54" spans="1:22" x14ac:dyDescent="0.25">
      <c r="A54" s="7">
        <v>993</v>
      </c>
      <c r="B54" s="7">
        <v>2025</v>
      </c>
      <c r="C54" s="7" t="s">
        <v>261</v>
      </c>
      <c r="D54" s="7" t="s">
        <v>87</v>
      </c>
      <c r="E54" s="7" t="s">
        <v>362</v>
      </c>
      <c r="F54" s="7" t="s">
        <v>269</v>
      </c>
      <c r="G54" s="18">
        <v>45680</v>
      </c>
      <c r="H54" s="18">
        <v>45717</v>
      </c>
      <c r="I54" s="18">
        <v>46022</v>
      </c>
      <c r="J54" s="7" t="str">
        <f>VLOOKUP(D54,Droplist!A:C,3,0)</f>
        <v>Martin Schulz</v>
      </c>
      <c r="K54" s="7"/>
      <c r="L54" s="7" t="s">
        <v>267</v>
      </c>
      <c r="M54" s="7" t="str">
        <f t="shared" si="0"/>
        <v>NOT AWARDED</v>
      </c>
      <c r="N54" s="7" t="s">
        <v>268</v>
      </c>
      <c r="O54" s="7">
        <v>736</v>
      </c>
      <c r="P54" s="7">
        <v>58</v>
      </c>
      <c r="Q54" s="13">
        <f t="shared" si="1"/>
        <v>12.689655172413794</v>
      </c>
      <c r="R54" s="7" t="s">
        <v>335</v>
      </c>
      <c r="S54" s="7"/>
      <c r="T54" s="7"/>
      <c r="U54" s="7"/>
      <c r="V54" s="9" t="s">
        <v>363</v>
      </c>
    </row>
    <row r="55" spans="1:22" ht="79.5" x14ac:dyDescent="0.25">
      <c r="A55" s="7">
        <v>994</v>
      </c>
      <c r="B55" s="7">
        <v>2025</v>
      </c>
      <c r="C55" s="7" t="s">
        <v>261</v>
      </c>
      <c r="D55" s="7" t="s">
        <v>75</v>
      </c>
      <c r="E55" s="7" t="s">
        <v>364</v>
      </c>
      <c r="F55" s="7" t="s">
        <v>269</v>
      </c>
      <c r="G55" s="18">
        <v>45930</v>
      </c>
      <c r="H55" s="18">
        <v>45931</v>
      </c>
      <c r="I55" s="18">
        <v>46022</v>
      </c>
      <c r="J55" s="7" t="str">
        <f>VLOOKUP(D55,Droplist!A:C,3,0)</f>
        <v>Martin Schulz</v>
      </c>
      <c r="K55" s="7" t="s">
        <v>364</v>
      </c>
      <c r="L55" s="7" t="s">
        <v>277</v>
      </c>
      <c r="M55" s="7" t="str">
        <f t="shared" si="0"/>
        <v>AWARDED/EXPIRED</v>
      </c>
      <c r="N55" s="7"/>
      <c r="O55" s="7">
        <v>3007</v>
      </c>
      <c r="P55" s="7">
        <v>154</v>
      </c>
      <c r="Q55" s="13">
        <f t="shared" si="1"/>
        <v>19.525974025974026</v>
      </c>
      <c r="R55" s="7">
        <v>250</v>
      </c>
      <c r="S55" s="7" t="s">
        <v>265</v>
      </c>
      <c r="T55" s="7">
        <v>171.922</v>
      </c>
      <c r="U55" s="7">
        <v>4.7069999999999999</v>
      </c>
      <c r="V55" s="9" t="s">
        <v>365</v>
      </c>
    </row>
    <row r="56" spans="1:22" x14ac:dyDescent="0.25">
      <c r="A56" s="7">
        <v>995</v>
      </c>
      <c r="B56" s="7">
        <v>2025</v>
      </c>
      <c r="C56" s="7" t="s">
        <v>261</v>
      </c>
      <c r="D56" s="7" t="s">
        <v>87</v>
      </c>
      <c r="E56" s="7" t="s">
        <v>366</v>
      </c>
      <c r="F56" s="7" t="s">
        <v>269</v>
      </c>
      <c r="G56" s="18">
        <v>45736</v>
      </c>
      <c r="H56" s="18">
        <v>45736</v>
      </c>
      <c r="I56" s="18">
        <v>46022</v>
      </c>
      <c r="J56" s="7" t="str">
        <f>VLOOKUP(D56,Droplist!A:C,3,0)</f>
        <v>Martin Schulz</v>
      </c>
      <c r="K56" s="7"/>
      <c r="L56" s="7" t="s">
        <v>267</v>
      </c>
      <c r="M56" s="7" t="str">
        <f t="shared" si="0"/>
        <v>NOT AWARDED</v>
      </c>
      <c r="N56" s="7" t="s">
        <v>268</v>
      </c>
      <c r="O56" s="7">
        <v>6927</v>
      </c>
      <c r="P56" s="7">
        <v>124</v>
      </c>
      <c r="Q56" s="13">
        <f t="shared" si="1"/>
        <v>55.862903225806448</v>
      </c>
      <c r="R56" s="7" t="s">
        <v>335</v>
      </c>
      <c r="S56" s="7"/>
      <c r="T56" s="7"/>
      <c r="U56" s="7"/>
      <c r="V56" s="9" t="s">
        <v>363</v>
      </c>
    </row>
    <row r="57" spans="1:22" ht="23.25" x14ac:dyDescent="0.25">
      <c r="A57" s="7">
        <v>996</v>
      </c>
      <c r="B57" s="7">
        <v>2025</v>
      </c>
      <c r="C57" s="7" t="s">
        <v>261</v>
      </c>
      <c r="D57" s="7" t="s">
        <v>75</v>
      </c>
      <c r="E57" s="7" t="s">
        <v>366</v>
      </c>
      <c r="F57" s="7" t="s">
        <v>269</v>
      </c>
      <c r="G57" s="18">
        <v>45862</v>
      </c>
      <c r="H57" s="18">
        <v>45870</v>
      </c>
      <c r="I57" s="18">
        <v>46022</v>
      </c>
      <c r="J57" s="7" t="str">
        <f>VLOOKUP(D57,Droplist!A:C,3,0)</f>
        <v>Martin Schulz</v>
      </c>
      <c r="K57" s="7"/>
      <c r="L57" s="7" t="s">
        <v>267</v>
      </c>
      <c r="M57" s="7" t="str">
        <f t="shared" si="0"/>
        <v>NOT AWARDED</v>
      </c>
      <c r="N57" s="7" t="s">
        <v>354</v>
      </c>
      <c r="O57" s="7">
        <v>6927</v>
      </c>
      <c r="P57" s="7">
        <v>13</v>
      </c>
      <c r="Q57" s="13">
        <f t="shared" si="1"/>
        <v>532.84615384615381</v>
      </c>
      <c r="R57" s="7" t="s">
        <v>335</v>
      </c>
      <c r="S57" s="7"/>
      <c r="T57" s="7"/>
      <c r="U57" s="7"/>
      <c r="V57" s="9" t="s">
        <v>367</v>
      </c>
    </row>
    <row r="58" spans="1:22" x14ac:dyDescent="0.25">
      <c r="A58" s="7">
        <v>997</v>
      </c>
      <c r="B58" s="7">
        <v>2025</v>
      </c>
      <c r="C58" s="7" t="s">
        <v>296</v>
      </c>
      <c r="D58" s="7" t="s">
        <v>48</v>
      </c>
      <c r="E58" s="7" t="s">
        <v>368</v>
      </c>
      <c r="F58" s="7" t="s">
        <v>269</v>
      </c>
      <c r="G58" s="18">
        <v>45896</v>
      </c>
      <c r="H58" s="18">
        <v>45901</v>
      </c>
      <c r="I58" s="18">
        <v>45991</v>
      </c>
      <c r="J58" s="7" t="str">
        <f>VLOOKUP(D58,Droplist!A:C,3,0)</f>
        <v>Jakob Bluhme</v>
      </c>
      <c r="K58" s="7" t="s">
        <v>368</v>
      </c>
      <c r="L58" s="7" t="s">
        <v>264</v>
      </c>
      <c r="M58" s="7" t="str">
        <f t="shared" si="0"/>
        <v>AWARDED</v>
      </c>
      <c r="N58" s="7"/>
      <c r="O58" s="7" t="s">
        <v>369</v>
      </c>
      <c r="P58" s="7">
        <v>9</v>
      </c>
      <c r="Q58" s="13" t="e">
        <f t="shared" si="1"/>
        <v>#VALUE!</v>
      </c>
      <c r="R58" s="7" t="s">
        <v>265</v>
      </c>
      <c r="S58" s="7" t="s">
        <v>265</v>
      </c>
      <c r="T58" s="7">
        <v>0.32</v>
      </c>
      <c r="U58" s="7">
        <v>0.05</v>
      </c>
      <c r="V58" s="9"/>
    </row>
    <row r="59" spans="1:22" x14ac:dyDescent="0.25">
      <c r="A59" s="7">
        <v>1013</v>
      </c>
      <c r="B59" s="7">
        <v>2025</v>
      </c>
      <c r="C59" s="7" t="s">
        <v>261</v>
      </c>
      <c r="D59" s="7" t="s">
        <v>45</v>
      </c>
      <c r="E59" s="7" t="s">
        <v>370</v>
      </c>
      <c r="F59" s="7" t="s">
        <v>269</v>
      </c>
      <c r="G59" s="18">
        <v>45684</v>
      </c>
      <c r="H59" s="18">
        <v>45689</v>
      </c>
      <c r="I59" s="18">
        <v>45747</v>
      </c>
      <c r="J59" s="7" t="str">
        <f>VLOOKUP(D59,Droplist!A:C,3,0)</f>
        <v>Dennis Frankowski</v>
      </c>
      <c r="K59" s="7"/>
      <c r="L59" s="7" t="s">
        <v>267</v>
      </c>
      <c r="M59" s="7" t="str">
        <f t="shared" si="0"/>
        <v>NOT AWARDED</v>
      </c>
      <c r="N59" s="7" t="s">
        <v>285</v>
      </c>
      <c r="O59" s="7">
        <v>346.91399999999999</v>
      </c>
      <c r="P59" s="7">
        <v>49</v>
      </c>
      <c r="Q59" s="13">
        <f t="shared" si="1"/>
        <v>7.0798775510204077</v>
      </c>
      <c r="R59" s="7"/>
      <c r="S59" s="7"/>
      <c r="T59" s="7"/>
      <c r="U59" s="7"/>
      <c r="V59" s="9" t="s">
        <v>371</v>
      </c>
    </row>
    <row r="60" spans="1:22" x14ac:dyDescent="0.25">
      <c r="A60" s="7">
        <v>1014</v>
      </c>
      <c r="B60" s="7">
        <v>2025</v>
      </c>
      <c r="C60" s="7" t="s">
        <v>261</v>
      </c>
      <c r="D60" s="7" t="s">
        <v>45</v>
      </c>
      <c r="E60" s="7" t="s">
        <v>372</v>
      </c>
      <c r="F60" s="7" t="s">
        <v>269</v>
      </c>
      <c r="G60" s="18">
        <v>45695</v>
      </c>
      <c r="H60" s="18">
        <v>45695</v>
      </c>
      <c r="I60" s="18">
        <v>46022</v>
      </c>
      <c r="J60" s="7" t="str">
        <f>VLOOKUP(D60,Droplist!A:C,3,0)</f>
        <v>Dennis Frankowski</v>
      </c>
      <c r="K60" s="7"/>
      <c r="L60" s="7" t="s">
        <v>267</v>
      </c>
      <c r="M60" s="7" t="str">
        <f t="shared" si="0"/>
        <v>NOT AWARDED</v>
      </c>
      <c r="N60" s="7" t="s">
        <v>268</v>
      </c>
      <c r="O60" s="7">
        <v>37580</v>
      </c>
      <c r="P60" s="7">
        <v>548</v>
      </c>
      <c r="Q60" s="13">
        <f t="shared" si="1"/>
        <v>68.576642335766422</v>
      </c>
      <c r="R60" s="7"/>
      <c r="S60" s="7"/>
      <c r="T60" s="7"/>
      <c r="U60" s="7"/>
      <c r="V60" s="9" t="s">
        <v>373</v>
      </c>
    </row>
    <row r="61" spans="1:22" x14ac:dyDescent="0.25">
      <c r="A61" s="7">
        <v>1015</v>
      </c>
      <c r="B61" s="7">
        <v>2025</v>
      </c>
      <c r="C61" s="7" t="s">
        <v>261</v>
      </c>
      <c r="D61" s="7" t="s">
        <v>45</v>
      </c>
      <c r="E61" s="7" t="s">
        <v>184</v>
      </c>
      <c r="F61" s="7" t="s">
        <v>269</v>
      </c>
      <c r="G61" s="18">
        <v>45742</v>
      </c>
      <c r="H61" s="18">
        <v>45748</v>
      </c>
      <c r="I61" s="18">
        <v>45777</v>
      </c>
      <c r="J61" s="7" t="str">
        <f>VLOOKUP(D61,Droplist!A:C,3,0)</f>
        <v>Dennis Frankowski</v>
      </c>
      <c r="K61" s="7"/>
      <c r="L61" s="7" t="s">
        <v>267</v>
      </c>
      <c r="M61" s="7" t="str">
        <f t="shared" si="0"/>
        <v>NOT AWARDED</v>
      </c>
      <c r="N61" s="7" t="s">
        <v>354</v>
      </c>
      <c r="O61" s="7">
        <v>3193</v>
      </c>
      <c r="P61" s="7">
        <v>38</v>
      </c>
      <c r="Q61" s="13">
        <f t="shared" si="1"/>
        <v>84.026315789473685</v>
      </c>
      <c r="R61" s="7"/>
      <c r="S61" s="7"/>
      <c r="T61" s="7"/>
      <c r="U61" s="7"/>
      <c r="V61" s="9" t="s">
        <v>374</v>
      </c>
    </row>
    <row r="62" spans="1:22" x14ac:dyDescent="0.25">
      <c r="A62" s="7">
        <v>1016</v>
      </c>
      <c r="B62" s="7">
        <v>2025</v>
      </c>
      <c r="C62" s="7" t="s">
        <v>261</v>
      </c>
      <c r="D62" s="7" t="s">
        <v>55</v>
      </c>
      <c r="E62" s="7" t="s">
        <v>184</v>
      </c>
      <c r="F62" s="7" t="s">
        <v>269</v>
      </c>
      <c r="G62" s="18">
        <v>45701</v>
      </c>
      <c r="H62" s="18">
        <v>45703</v>
      </c>
      <c r="I62" s="18">
        <v>46022</v>
      </c>
      <c r="J62" s="7" t="str">
        <f>VLOOKUP(D62,Droplist!A:C,3,0)</f>
        <v>Mette B. Karapetian</v>
      </c>
      <c r="K62" s="7"/>
      <c r="L62" s="7" t="s">
        <v>267</v>
      </c>
      <c r="M62" s="7" t="str">
        <f t="shared" si="0"/>
        <v>NOT AWARDED</v>
      </c>
      <c r="N62" s="7" t="s">
        <v>268</v>
      </c>
      <c r="O62" s="7">
        <v>69471</v>
      </c>
      <c r="P62" s="7">
        <v>1675</v>
      </c>
      <c r="Q62" s="13">
        <f t="shared" si="1"/>
        <v>41.475223880597014</v>
      </c>
      <c r="R62" s="7"/>
      <c r="S62" s="7"/>
      <c r="T62" s="7"/>
      <c r="U62" s="7"/>
      <c r="V62" s="9"/>
    </row>
    <row r="63" spans="1:22" x14ac:dyDescent="0.25">
      <c r="A63" s="7">
        <v>1017</v>
      </c>
      <c r="B63" s="7">
        <v>2025</v>
      </c>
      <c r="C63" s="7" t="s">
        <v>261</v>
      </c>
      <c r="D63" s="7" t="s">
        <v>226</v>
      </c>
      <c r="E63" s="7" t="s">
        <v>231</v>
      </c>
      <c r="F63" s="7" t="s">
        <v>269</v>
      </c>
      <c r="G63" s="18">
        <v>45923</v>
      </c>
      <c r="H63" s="18">
        <v>45931</v>
      </c>
      <c r="I63" s="18">
        <v>46022</v>
      </c>
      <c r="J63" s="7" t="str">
        <f>VLOOKUP(D63,Droplist!A:C,3,0)</f>
        <v>Martin Schulz</v>
      </c>
      <c r="K63" s="7" t="s">
        <v>375</v>
      </c>
      <c r="L63" s="7" t="s">
        <v>264</v>
      </c>
      <c r="M63" s="7" t="str">
        <f t="shared" si="0"/>
        <v>PRIME</v>
      </c>
      <c r="N63" s="7"/>
      <c r="O63" s="7">
        <v>1450</v>
      </c>
      <c r="P63" s="7">
        <v>71</v>
      </c>
      <c r="Q63" s="13">
        <f t="shared" si="1"/>
        <v>20.422535211267604</v>
      </c>
      <c r="R63" s="7">
        <v>5300</v>
      </c>
      <c r="S63" s="7">
        <v>444</v>
      </c>
      <c r="T63" s="7">
        <v>965.90200000000027</v>
      </c>
      <c r="U63" s="7">
        <v>125.73599999999999</v>
      </c>
      <c r="V63" s="9" t="s">
        <v>376</v>
      </c>
    </row>
    <row r="64" spans="1:22" x14ac:dyDescent="0.25">
      <c r="A64" s="7">
        <v>1018</v>
      </c>
      <c r="B64" s="7">
        <v>2025</v>
      </c>
      <c r="C64" s="7" t="s">
        <v>261</v>
      </c>
      <c r="D64" s="7" t="s">
        <v>377</v>
      </c>
      <c r="E64" s="7" t="s">
        <v>378</v>
      </c>
      <c r="F64" s="7" t="s">
        <v>269</v>
      </c>
      <c r="G64" s="18">
        <v>45694</v>
      </c>
      <c r="H64" s="18">
        <v>45694</v>
      </c>
      <c r="I64" s="18">
        <v>45838</v>
      </c>
      <c r="J64" s="7" t="str">
        <f>VLOOKUP(D64,Droplist!A:C,3,0)</f>
        <v>Nadine Beer/ Martin Schulz</v>
      </c>
      <c r="K64" s="7"/>
      <c r="L64" s="7" t="s">
        <v>267</v>
      </c>
      <c r="M64" s="7" t="str">
        <f t="shared" si="0"/>
        <v>NOT AWARDED</v>
      </c>
      <c r="N64" s="7" t="s">
        <v>379</v>
      </c>
      <c r="O64" s="7">
        <v>6500</v>
      </c>
      <c r="P64" s="7">
        <v>32</v>
      </c>
      <c r="Q64" s="13">
        <f t="shared" si="1"/>
        <v>203.125</v>
      </c>
      <c r="R64" s="7"/>
      <c r="S64" s="7"/>
      <c r="T64" s="7"/>
      <c r="U64" s="7"/>
      <c r="V64" s="9"/>
    </row>
    <row r="65" spans="1:22" ht="23.25" x14ac:dyDescent="0.25">
      <c r="A65" s="7">
        <v>1019</v>
      </c>
      <c r="B65" s="7">
        <v>2025</v>
      </c>
      <c r="C65" s="7" t="s">
        <v>261</v>
      </c>
      <c r="D65" s="7" t="s">
        <v>75</v>
      </c>
      <c r="E65" s="7" t="s">
        <v>380</v>
      </c>
      <c r="F65" s="7" t="s">
        <v>269</v>
      </c>
      <c r="G65" s="18">
        <v>45688</v>
      </c>
      <c r="H65" s="18">
        <v>45689</v>
      </c>
      <c r="I65" s="18">
        <v>45930</v>
      </c>
      <c r="J65" s="7" t="str">
        <f>VLOOKUP(D65,Droplist!A:C,3,0)</f>
        <v>Martin Schulz</v>
      </c>
      <c r="K65" s="7"/>
      <c r="L65" s="7" t="s">
        <v>267</v>
      </c>
      <c r="M65" s="7" t="str">
        <f t="shared" si="0"/>
        <v>NOT AWARDED</v>
      </c>
      <c r="N65" s="7" t="s">
        <v>268</v>
      </c>
      <c r="O65" s="7">
        <v>22400</v>
      </c>
      <c r="P65" s="7">
        <v>134</v>
      </c>
      <c r="Q65" s="13">
        <f t="shared" si="1"/>
        <v>167.16417910447763</v>
      </c>
      <c r="R65" s="7"/>
      <c r="S65" s="7"/>
      <c r="T65" s="7">
        <v>734.05200000000025</v>
      </c>
      <c r="U65" s="7"/>
      <c r="V65" s="9" t="s">
        <v>381</v>
      </c>
    </row>
    <row r="66" spans="1:22" ht="23.25" x14ac:dyDescent="0.25">
      <c r="A66" s="7">
        <v>1020</v>
      </c>
      <c r="B66" s="7">
        <v>2025</v>
      </c>
      <c r="C66" s="7" t="s">
        <v>261</v>
      </c>
      <c r="D66" s="7" t="s">
        <v>382</v>
      </c>
      <c r="E66" s="7" t="s">
        <v>383</v>
      </c>
      <c r="F66" s="7" t="s">
        <v>269</v>
      </c>
      <c r="G66" s="18">
        <v>45706</v>
      </c>
      <c r="H66" s="18">
        <v>45717</v>
      </c>
      <c r="I66" s="18">
        <v>46022</v>
      </c>
      <c r="J66" s="7" t="str">
        <f>VLOOKUP(D66,Droplist!A:C,3,0)</f>
        <v>Chris Crowder</v>
      </c>
      <c r="K66" s="7" t="s">
        <v>383</v>
      </c>
      <c r="L66" s="7" t="s">
        <v>264</v>
      </c>
      <c r="M66" s="7" t="str">
        <f t="shared" ref="M66:M129" si="2">IF(L66&lt;&gt;"AWARDED",L66,IF(NOT(ISNUMBER(T66)),L66,IF(T66&gt;=700,"PRIME",IF(T66&gt;=250,"MAINTENANCE",L66))))</f>
        <v>AWARDED</v>
      </c>
      <c r="N66" s="7"/>
      <c r="O66" s="7">
        <v>8744.0229999999992</v>
      </c>
      <c r="P66" s="7">
        <v>883</v>
      </c>
      <c r="Q66" s="13">
        <f t="shared" si="1"/>
        <v>9.9026308040770097</v>
      </c>
      <c r="R66" s="7">
        <v>3264.7</v>
      </c>
      <c r="S66" s="7">
        <v>272.05833333333334</v>
      </c>
      <c r="T66" s="7">
        <v>11.845000000000001</v>
      </c>
      <c r="U66" s="7">
        <v>5.47</v>
      </c>
      <c r="V66" s="9" t="s">
        <v>384</v>
      </c>
    </row>
    <row r="67" spans="1:22" x14ac:dyDescent="0.25">
      <c r="A67" s="7">
        <v>1021</v>
      </c>
      <c r="B67" s="7">
        <v>2025</v>
      </c>
      <c r="C67" s="7" t="s">
        <v>261</v>
      </c>
      <c r="D67" s="7" t="s">
        <v>77</v>
      </c>
      <c r="E67" s="7" t="s">
        <v>385</v>
      </c>
      <c r="F67" s="7" t="s">
        <v>269</v>
      </c>
      <c r="G67" s="18">
        <v>45694</v>
      </c>
      <c r="H67" s="18">
        <v>45703</v>
      </c>
      <c r="I67" s="18">
        <v>45747</v>
      </c>
      <c r="J67" s="7" t="str">
        <f>VLOOKUP(D67,Droplist!A:C,3,0)</f>
        <v>Martin Schulz</v>
      </c>
      <c r="K67" s="7"/>
      <c r="L67" s="7" t="s">
        <v>267</v>
      </c>
      <c r="M67" s="7" t="str">
        <f t="shared" si="2"/>
        <v>NOT AWARDED</v>
      </c>
      <c r="N67" s="7" t="s">
        <v>349</v>
      </c>
      <c r="O67" s="7">
        <v>37619</v>
      </c>
      <c r="P67" s="7">
        <v>251</v>
      </c>
      <c r="Q67" s="13">
        <f t="shared" ref="Q67:Q130" si="3">O67/P67</f>
        <v>149.87649402390437</v>
      </c>
      <c r="R67" s="7"/>
      <c r="S67" s="7"/>
      <c r="T67" s="7">
        <v>51.991000000000007</v>
      </c>
      <c r="U67" s="7"/>
      <c r="V67" s="9"/>
    </row>
    <row r="68" spans="1:22" ht="34.5" x14ac:dyDescent="0.25">
      <c r="A68" s="7">
        <v>1022</v>
      </c>
      <c r="B68" s="7">
        <v>2025</v>
      </c>
      <c r="C68" s="7" t="s">
        <v>261</v>
      </c>
      <c r="D68" s="7" t="s">
        <v>80</v>
      </c>
      <c r="E68" s="7" t="s">
        <v>386</v>
      </c>
      <c r="F68" s="7" t="s">
        <v>269</v>
      </c>
      <c r="G68" s="18">
        <v>45924</v>
      </c>
      <c r="H68" s="18">
        <v>45924</v>
      </c>
      <c r="I68" s="18">
        <v>46112</v>
      </c>
      <c r="J68" s="7" t="str">
        <f>VLOOKUP(D68,Droplist!A:C,3,0)</f>
        <v>Jens Pottschul</v>
      </c>
      <c r="K68" s="7"/>
      <c r="L68" s="7" t="s">
        <v>267</v>
      </c>
      <c r="M68" s="7" t="str">
        <f t="shared" si="2"/>
        <v>NOT AWARDED</v>
      </c>
      <c r="N68" s="7" t="s">
        <v>268</v>
      </c>
      <c r="O68" s="7">
        <v>3124</v>
      </c>
      <c r="P68" s="7">
        <v>1050</v>
      </c>
      <c r="Q68" s="13">
        <f t="shared" si="3"/>
        <v>2.9752380952380952</v>
      </c>
      <c r="R68" s="7"/>
      <c r="S68" s="7"/>
      <c r="T68" s="7"/>
      <c r="U68" s="7"/>
      <c r="V68" s="9" t="s">
        <v>387</v>
      </c>
    </row>
    <row r="69" spans="1:22" x14ac:dyDescent="0.25">
      <c r="A69" s="7">
        <v>1023</v>
      </c>
      <c r="B69" s="7">
        <v>2025</v>
      </c>
      <c r="C69" s="7" t="s">
        <v>261</v>
      </c>
      <c r="D69" s="7" t="s">
        <v>80</v>
      </c>
      <c r="E69" s="7" t="s">
        <v>372</v>
      </c>
      <c r="F69" s="7" t="s">
        <v>269</v>
      </c>
      <c r="G69" s="18">
        <v>45691</v>
      </c>
      <c r="H69" s="18">
        <v>45692</v>
      </c>
      <c r="I69" s="18">
        <v>45838</v>
      </c>
      <c r="J69" s="7" t="str">
        <f>VLOOKUP(D69,Droplist!A:C,3,0)</f>
        <v>Jens Pottschul</v>
      </c>
      <c r="K69" s="7"/>
      <c r="L69" s="7" t="s">
        <v>267</v>
      </c>
      <c r="M69" s="7" t="str">
        <f t="shared" si="2"/>
        <v>NOT AWARDED</v>
      </c>
      <c r="N69" s="7" t="s">
        <v>388</v>
      </c>
      <c r="O69" s="7">
        <v>18275</v>
      </c>
      <c r="P69" s="7">
        <v>446</v>
      </c>
      <c r="Q69" s="13">
        <f t="shared" si="3"/>
        <v>40.975336322869957</v>
      </c>
      <c r="R69" s="7"/>
      <c r="S69" s="7"/>
      <c r="T69" s="7"/>
      <c r="U69" s="7"/>
      <c r="V69" s="9"/>
    </row>
    <row r="70" spans="1:22" ht="23.25" x14ac:dyDescent="0.25">
      <c r="A70" s="7">
        <v>1024</v>
      </c>
      <c r="B70" s="7">
        <v>2025</v>
      </c>
      <c r="C70" s="7" t="s">
        <v>261</v>
      </c>
      <c r="D70" s="7" t="s">
        <v>80</v>
      </c>
      <c r="E70" s="7" t="s">
        <v>389</v>
      </c>
      <c r="F70" s="7" t="s">
        <v>269</v>
      </c>
      <c r="G70" s="18">
        <v>45699</v>
      </c>
      <c r="H70" s="18">
        <v>45699</v>
      </c>
      <c r="I70" s="18">
        <v>45838</v>
      </c>
      <c r="J70" s="7" t="str">
        <f>VLOOKUP(D70,Droplist!A:C,3,0)</f>
        <v>Jens Pottschul</v>
      </c>
      <c r="K70" s="7"/>
      <c r="L70" s="7" t="s">
        <v>267</v>
      </c>
      <c r="M70" s="7" t="str">
        <f t="shared" si="2"/>
        <v>NOT AWARDED</v>
      </c>
      <c r="N70" s="7" t="s">
        <v>354</v>
      </c>
      <c r="O70" s="7">
        <v>830</v>
      </c>
      <c r="P70" s="7">
        <v>54</v>
      </c>
      <c r="Q70" s="13">
        <f t="shared" si="3"/>
        <v>15.37037037037037</v>
      </c>
      <c r="R70" s="7"/>
      <c r="S70" s="7"/>
      <c r="T70" s="7"/>
      <c r="U70" s="7"/>
      <c r="V70" s="9" t="s">
        <v>390</v>
      </c>
    </row>
    <row r="71" spans="1:22" x14ac:dyDescent="0.25">
      <c r="A71" s="7">
        <v>1025</v>
      </c>
      <c r="B71" s="7">
        <v>2025</v>
      </c>
      <c r="C71" s="7" t="s">
        <v>261</v>
      </c>
      <c r="D71" s="7" t="s">
        <v>391</v>
      </c>
      <c r="E71" s="7" t="s">
        <v>220</v>
      </c>
      <c r="F71" s="7" t="s">
        <v>269</v>
      </c>
      <c r="G71" s="18">
        <v>45685</v>
      </c>
      <c r="H71" s="18">
        <v>45689</v>
      </c>
      <c r="I71" s="18">
        <v>45747</v>
      </c>
      <c r="J71" s="7" t="str">
        <f>VLOOKUP(D71,Droplist!A:C,3,0)</f>
        <v>Martin Schulz</v>
      </c>
      <c r="K71" s="7" t="s">
        <v>392</v>
      </c>
      <c r="L71" s="7" t="s">
        <v>277</v>
      </c>
      <c r="M71" s="7" t="str">
        <f t="shared" si="2"/>
        <v>AWARDED/EXPIRED</v>
      </c>
      <c r="N71" s="7"/>
      <c r="O71" s="7">
        <v>6168</v>
      </c>
      <c r="P71" s="7">
        <v>105</v>
      </c>
      <c r="Q71" s="13">
        <f t="shared" si="3"/>
        <v>58.74285714285714</v>
      </c>
      <c r="R71" s="7"/>
      <c r="S71" s="7"/>
      <c r="T71" s="7">
        <v>111.15899999999999</v>
      </c>
      <c r="U71" s="7"/>
      <c r="V71" s="9"/>
    </row>
    <row r="72" spans="1:22" x14ac:dyDescent="0.25">
      <c r="A72" s="7">
        <v>1026</v>
      </c>
      <c r="B72" s="7">
        <v>2025</v>
      </c>
      <c r="C72" s="7" t="s">
        <v>261</v>
      </c>
      <c r="D72" s="7" t="s">
        <v>391</v>
      </c>
      <c r="E72" s="7" t="s">
        <v>262</v>
      </c>
      <c r="F72" s="7" t="s">
        <v>269</v>
      </c>
      <c r="G72" s="18">
        <v>45693</v>
      </c>
      <c r="H72" s="18">
        <v>45714</v>
      </c>
      <c r="I72" s="18">
        <v>45838</v>
      </c>
      <c r="J72" s="7" t="str">
        <f>VLOOKUP(D72,Droplist!A:C,3,0)</f>
        <v>Martin Schulz</v>
      </c>
      <c r="K72" s="7" t="s">
        <v>262</v>
      </c>
      <c r="L72" s="7" t="s">
        <v>277</v>
      </c>
      <c r="M72" s="7" t="str">
        <f t="shared" si="2"/>
        <v>AWARDED/EXPIRED</v>
      </c>
      <c r="N72" s="7"/>
      <c r="O72" s="7">
        <v>8544</v>
      </c>
      <c r="P72" s="7">
        <v>119</v>
      </c>
      <c r="Q72" s="13">
        <f t="shared" si="3"/>
        <v>71.798319327731093</v>
      </c>
      <c r="R72" s="7"/>
      <c r="S72" s="7"/>
      <c r="T72" s="7">
        <v>215.83300000000014</v>
      </c>
      <c r="U72" s="7">
        <v>44.207000000000001</v>
      </c>
      <c r="V72" s="9" t="s">
        <v>393</v>
      </c>
    </row>
    <row r="73" spans="1:22" x14ac:dyDescent="0.25">
      <c r="A73" s="7">
        <v>1027</v>
      </c>
      <c r="B73" s="7">
        <v>2025</v>
      </c>
      <c r="C73" s="7" t="s">
        <v>261</v>
      </c>
      <c r="D73" s="7" t="s">
        <v>391</v>
      </c>
      <c r="E73" s="7" t="s">
        <v>394</v>
      </c>
      <c r="F73" s="7" t="s">
        <v>269</v>
      </c>
      <c r="G73" s="18">
        <v>45712</v>
      </c>
      <c r="H73" s="18">
        <v>45748</v>
      </c>
      <c r="I73" s="18">
        <v>46112</v>
      </c>
      <c r="J73" s="7" t="str">
        <f>VLOOKUP(D73,Droplist!A:C,3,0)</f>
        <v>Martin Schulz</v>
      </c>
      <c r="K73" s="7"/>
      <c r="L73" s="7" t="s">
        <v>267</v>
      </c>
      <c r="M73" s="7" t="str">
        <f t="shared" si="2"/>
        <v>NOT AWARDED</v>
      </c>
      <c r="N73" s="7" t="s">
        <v>268</v>
      </c>
      <c r="O73" s="7">
        <v>4413</v>
      </c>
      <c r="P73" s="7">
        <v>74</v>
      </c>
      <c r="Q73" s="13">
        <f t="shared" si="3"/>
        <v>59.635135135135137</v>
      </c>
      <c r="R73" s="7"/>
      <c r="S73" s="7"/>
      <c r="T73" s="7"/>
      <c r="U73" s="7"/>
      <c r="V73" s="9" t="s">
        <v>395</v>
      </c>
    </row>
    <row r="74" spans="1:22" x14ac:dyDescent="0.25">
      <c r="A74" s="7">
        <v>1028</v>
      </c>
      <c r="B74" s="7">
        <v>2025</v>
      </c>
      <c r="C74" s="7" t="s">
        <v>261</v>
      </c>
      <c r="D74" s="7" t="s">
        <v>84</v>
      </c>
      <c r="E74" s="7" t="s">
        <v>396</v>
      </c>
      <c r="F74" s="7" t="s">
        <v>269</v>
      </c>
      <c r="G74" s="18">
        <v>45790</v>
      </c>
      <c r="H74" s="18">
        <v>45839</v>
      </c>
      <c r="I74" s="18">
        <v>45930</v>
      </c>
      <c r="J74" s="7" t="str">
        <f>VLOOKUP(D74,Droplist!A:C,3,0)</f>
        <v>Martin Schulz</v>
      </c>
      <c r="K74" s="7"/>
      <c r="L74" s="7" t="s">
        <v>267</v>
      </c>
      <c r="M74" s="7" t="str">
        <f t="shared" si="2"/>
        <v>NOT AWARDED</v>
      </c>
      <c r="N74" s="7" t="s">
        <v>397</v>
      </c>
      <c r="O74" s="7">
        <v>7200</v>
      </c>
      <c r="P74" s="7">
        <v>236</v>
      </c>
      <c r="Q74" s="13">
        <f t="shared" si="3"/>
        <v>30.508474576271187</v>
      </c>
      <c r="R74" s="7"/>
      <c r="S74" s="7"/>
      <c r="T74" s="7"/>
      <c r="U74" s="7"/>
      <c r="V74" s="9" t="s">
        <v>398</v>
      </c>
    </row>
    <row r="75" spans="1:22" x14ac:dyDescent="0.25">
      <c r="A75" s="7">
        <v>1029</v>
      </c>
      <c r="B75" s="7">
        <v>2025</v>
      </c>
      <c r="C75" s="7" t="s">
        <v>261</v>
      </c>
      <c r="D75" s="7" t="s">
        <v>87</v>
      </c>
      <c r="E75" s="7" t="s">
        <v>370</v>
      </c>
      <c r="F75" s="7" t="s">
        <v>269</v>
      </c>
      <c r="G75" s="18">
        <v>45691</v>
      </c>
      <c r="H75" s="18">
        <v>45717</v>
      </c>
      <c r="I75" s="18">
        <v>46022</v>
      </c>
      <c r="J75" s="7" t="str">
        <f>VLOOKUP(D75,Droplist!A:C,3,0)</f>
        <v>Martin Schulz</v>
      </c>
      <c r="K75" s="7"/>
      <c r="L75" s="7" t="s">
        <v>267</v>
      </c>
      <c r="M75" s="7" t="str">
        <f t="shared" si="2"/>
        <v>NOT AWARDED</v>
      </c>
      <c r="N75" s="7" t="s">
        <v>268</v>
      </c>
      <c r="O75" s="7">
        <v>2372</v>
      </c>
      <c r="P75" s="7">
        <v>64</v>
      </c>
      <c r="Q75" s="13">
        <f t="shared" si="3"/>
        <v>37.0625</v>
      </c>
      <c r="R75" s="7"/>
      <c r="S75" s="7"/>
      <c r="T75" s="7"/>
      <c r="U75" s="7"/>
      <c r="V75" s="9" t="s">
        <v>363</v>
      </c>
    </row>
    <row r="76" spans="1:22" x14ac:dyDescent="0.25">
      <c r="A76" s="7">
        <v>1030</v>
      </c>
      <c r="B76" s="7">
        <v>2025</v>
      </c>
      <c r="C76" s="7" t="s">
        <v>261</v>
      </c>
      <c r="D76" s="7" t="s">
        <v>87</v>
      </c>
      <c r="E76" s="7" t="s">
        <v>271</v>
      </c>
      <c r="F76" s="7" t="s">
        <v>269</v>
      </c>
      <c r="G76" s="18">
        <v>45695</v>
      </c>
      <c r="H76" s="18">
        <v>45695</v>
      </c>
      <c r="I76" s="18">
        <v>45838</v>
      </c>
      <c r="J76" s="7" t="str">
        <f>VLOOKUP(D76,Droplist!A:C,3,0)</f>
        <v>Martin Schulz</v>
      </c>
      <c r="K76" s="7" t="s">
        <v>271</v>
      </c>
      <c r="L76" s="7" t="s">
        <v>277</v>
      </c>
      <c r="M76" s="7" t="str">
        <f t="shared" si="2"/>
        <v>AWARDED/EXPIRED</v>
      </c>
      <c r="N76" s="7"/>
      <c r="O76" s="7">
        <v>236.93700000000001</v>
      </c>
      <c r="P76" s="7">
        <v>36</v>
      </c>
      <c r="Q76" s="13">
        <f t="shared" si="3"/>
        <v>6.5815833333333336</v>
      </c>
      <c r="R76" s="7">
        <v>600</v>
      </c>
      <c r="S76" s="7">
        <v>50</v>
      </c>
      <c r="T76" s="7">
        <v>95.424000000000007</v>
      </c>
      <c r="U76" s="7">
        <v>24.303000000000004</v>
      </c>
      <c r="V76" s="9" t="s">
        <v>399</v>
      </c>
    </row>
    <row r="77" spans="1:22" x14ac:dyDescent="0.25">
      <c r="A77" s="7">
        <v>1031</v>
      </c>
      <c r="B77" s="7">
        <v>2025</v>
      </c>
      <c r="C77" s="7" t="s">
        <v>261</v>
      </c>
      <c r="D77" s="7" t="s">
        <v>87</v>
      </c>
      <c r="E77" s="7" t="s">
        <v>223</v>
      </c>
      <c r="F77" s="7" t="s">
        <v>269</v>
      </c>
      <c r="G77" s="18">
        <v>45702</v>
      </c>
      <c r="H77" s="18">
        <v>45705</v>
      </c>
      <c r="I77" s="18">
        <v>46022</v>
      </c>
      <c r="J77" s="7" t="str">
        <f>VLOOKUP(D77,Droplist!A:C,3,0)</f>
        <v>Martin Schulz</v>
      </c>
      <c r="K77" s="7"/>
      <c r="L77" s="7" t="s">
        <v>267</v>
      </c>
      <c r="M77" s="7" t="str">
        <f t="shared" si="2"/>
        <v>NOT AWARDED</v>
      </c>
      <c r="N77" s="7" t="s">
        <v>379</v>
      </c>
      <c r="O77" s="7">
        <v>1400</v>
      </c>
      <c r="P77" s="7">
        <v>55</v>
      </c>
      <c r="Q77" s="13">
        <f t="shared" si="3"/>
        <v>25.454545454545453</v>
      </c>
      <c r="R77" s="7"/>
      <c r="S77" s="7"/>
      <c r="T77" s="7"/>
      <c r="U77" s="7"/>
      <c r="V77" s="9"/>
    </row>
    <row r="78" spans="1:22" x14ac:dyDescent="0.25">
      <c r="A78" s="7">
        <v>1032</v>
      </c>
      <c r="B78" s="7">
        <v>2025</v>
      </c>
      <c r="C78" s="7" t="s">
        <v>261</v>
      </c>
      <c r="D78" s="7" t="s">
        <v>97</v>
      </c>
      <c r="E78" s="7" t="s">
        <v>400</v>
      </c>
      <c r="F78" s="7" t="s">
        <v>269</v>
      </c>
      <c r="G78" s="18">
        <v>45691</v>
      </c>
      <c r="H78" s="18">
        <v>45691</v>
      </c>
      <c r="I78" s="18">
        <v>45838</v>
      </c>
      <c r="J78" s="7" t="str">
        <f>VLOOKUP(D78,Droplist!A:C,3,0)</f>
        <v>Jakob Bluhme / Tom Hine</v>
      </c>
      <c r="K78" s="7"/>
      <c r="L78" s="7" t="s">
        <v>267</v>
      </c>
      <c r="M78" s="7" t="str">
        <f t="shared" si="2"/>
        <v>NOT AWARDED</v>
      </c>
      <c r="N78" s="7" t="s">
        <v>401</v>
      </c>
      <c r="O78" s="7">
        <v>1928</v>
      </c>
      <c r="P78" s="7">
        <v>210</v>
      </c>
      <c r="Q78" s="13">
        <f t="shared" si="3"/>
        <v>9.1809523809523803</v>
      </c>
      <c r="R78" s="7"/>
      <c r="S78" s="7"/>
      <c r="T78" s="7"/>
      <c r="U78" s="7"/>
      <c r="V78" s="9" t="s">
        <v>371</v>
      </c>
    </row>
    <row r="79" spans="1:22" x14ac:dyDescent="0.25">
      <c r="A79" s="7">
        <v>1033</v>
      </c>
      <c r="B79" s="7">
        <v>2025</v>
      </c>
      <c r="C79" s="7" t="s">
        <v>261</v>
      </c>
      <c r="D79" s="7" t="s">
        <v>97</v>
      </c>
      <c r="E79" s="7" t="s">
        <v>402</v>
      </c>
      <c r="F79" s="7" t="s">
        <v>269</v>
      </c>
      <c r="G79" s="18">
        <v>45695</v>
      </c>
      <c r="H79" s="18">
        <v>45703</v>
      </c>
      <c r="I79" s="18">
        <v>46022</v>
      </c>
      <c r="J79" s="7" t="str">
        <f>VLOOKUP(D79,Droplist!A:C,3,0)</f>
        <v>Jakob Bluhme / Tom Hine</v>
      </c>
      <c r="K79" s="7"/>
      <c r="L79" s="7" t="s">
        <v>267</v>
      </c>
      <c r="M79" s="7" t="str">
        <f t="shared" si="2"/>
        <v>NOT AWARDED</v>
      </c>
      <c r="N79" s="7" t="s">
        <v>403</v>
      </c>
      <c r="O79" s="7">
        <v>45247</v>
      </c>
      <c r="P79" s="7">
        <v>587</v>
      </c>
      <c r="Q79" s="13">
        <f t="shared" si="3"/>
        <v>77.08177172061329</v>
      </c>
      <c r="R79" s="7"/>
      <c r="S79" s="7"/>
      <c r="T79" s="7"/>
      <c r="U79" s="7"/>
      <c r="V79" s="9"/>
    </row>
    <row r="80" spans="1:22" x14ac:dyDescent="0.25">
      <c r="A80" s="7">
        <v>1034</v>
      </c>
      <c r="B80" s="7">
        <v>2025</v>
      </c>
      <c r="C80" s="7" t="s">
        <v>261</v>
      </c>
      <c r="D80" s="7" t="s">
        <v>97</v>
      </c>
      <c r="E80" s="7" t="s">
        <v>404</v>
      </c>
      <c r="F80" s="7" t="s">
        <v>269</v>
      </c>
      <c r="G80" s="18">
        <v>45723</v>
      </c>
      <c r="H80" s="18">
        <v>45723</v>
      </c>
      <c r="I80" s="18">
        <v>45869</v>
      </c>
      <c r="J80" s="7" t="str">
        <f>VLOOKUP(D80,Droplist!A:C,3,0)</f>
        <v>Jakob Bluhme / Tom Hine</v>
      </c>
      <c r="K80" s="7"/>
      <c r="L80" s="7" t="s">
        <v>267</v>
      </c>
      <c r="M80" s="7" t="str">
        <f t="shared" si="2"/>
        <v>NOT AWARDED</v>
      </c>
      <c r="N80" s="7" t="s">
        <v>268</v>
      </c>
      <c r="O80" s="7">
        <v>36773</v>
      </c>
      <c r="P80" s="7">
        <v>818</v>
      </c>
      <c r="Q80" s="13">
        <f t="shared" si="3"/>
        <v>44.954767726161371</v>
      </c>
      <c r="R80" s="7"/>
      <c r="S80" s="7"/>
      <c r="T80" s="7"/>
      <c r="U80" s="7"/>
      <c r="V80" s="9" t="s">
        <v>405</v>
      </c>
    </row>
    <row r="81" spans="1:22" x14ac:dyDescent="0.25">
      <c r="A81" s="7">
        <v>1035</v>
      </c>
      <c r="B81" s="7">
        <v>2025</v>
      </c>
      <c r="C81" s="7" t="s">
        <v>261</v>
      </c>
      <c r="D81" s="7" t="s">
        <v>104</v>
      </c>
      <c r="E81" s="7" t="s">
        <v>353</v>
      </c>
      <c r="F81" s="7" t="s">
        <v>269</v>
      </c>
      <c r="G81" s="18">
        <v>45681</v>
      </c>
      <c r="H81" s="18">
        <v>45679</v>
      </c>
      <c r="I81" s="18">
        <v>45961</v>
      </c>
      <c r="J81" s="7" t="str">
        <f>VLOOKUP(D81,Droplist!A:C,3,0)</f>
        <v>Martin Schulz</v>
      </c>
      <c r="K81" s="7"/>
      <c r="L81" s="7" t="s">
        <v>267</v>
      </c>
      <c r="M81" s="7" t="str">
        <f t="shared" si="2"/>
        <v>NOT AWARDED</v>
      </c>
      <c r="N81" s="7" t="s">
        <v>268</v>
      </c>
      <c r="O81" s="7">
        <v>5767</v>
      </c>
      <c r="P81" s="7">
        <v>68</v>
      </c>
      <c r="Q81" s="13">
        <f t="shared" si="3"/>
        <v>84.808823529411768</v>
      </c>
      <c r="R81" s="7"/>
      <c r="S81" s="7"/>
      <c r="T81" s="7"/>
      <c r="U81" s="7"/>
      <c r="V81" s="9" t="s">
        <v>406</v>
      </c>
    </row>
    <row r="82" spans="1:22" ht="34.5" x14ac:dyDescent="0.25">
      <c r="A82" s="7">
        <v>1036</v>
      </c>
      <c r="B82" s="7">
        <v>2025</v>
      </c>
      <c r="C82" s="7" t="s">
        <v>261</v>
      </c>
      <c r="D82" s="7" t="s">
        <v>407</v>
      </c>
      <c r="E82" s="7" t="s">
        <v>353</v>
      </c>
      <c r="F82" s="7" t="s">
        <v>269</v>
      </c>
      <c r="G82" s="18">
        <v>45681</v>
      </c>
      <c r="H82" s="18">
        <v>45679</v>
      </c>
      <c r="I82" s="18">
        <v>45961</v>
      </c>
      <c r="J82" s="7" t="str">
        <f>VLOOKUP(D82,Droplist!A:C,3,0)</f>
        <v xml:space="preserve">Roberta MacLeod-Stuart </v>
      </c>
      <c r="K82" s="7"/>
      <c r="L82" s="7" t="s">
        <v>267</v>
      </c>
      <c r="M82" s="7" t="str">
        <f t="shared" si="2"/>
        <v>NOT AWARDED</v>
      </c>
      <c r="N82" s="7" t="s">
        <v>268</v>
      </c>
      <c r="O82" s="7">
        <v>60448</v>
      </c>
      <c r="P82" s="7">
        <v>303</v>
      </c>
      <c r="Q82" s="13">
        <f t="shared" si="3"/>
        <v>199.49834983498349</v>
      </c>
      <c r="R82" s="7"/>
      <c r="S82" s="7"/>
      <c r="T82" s="7"/>
      <c r="U82" s="7"/>
      <c r="V82" s="9" t="s">
        <v>408</v>
      </c>
    </row>
    <row r="83" spans="1:22" ht="45.75" x14ac:dyDescent="0.25">
      <c r="A83" s="7">
        <v>1037</v>
      </c>
      <c r="B83" s="7">
        <v>2025</v>
      </c>
      <c r="C83" s="7" t="s">
        <v>261</v>
      </c>
      <c r="D83" s="7" t="s">
        <v>185</v>
      </c>
      <c r="E83" s="7" t="s">
        <v>372</v>
      </c>
      <c r="F83" s="7" t="s">
        <v>269</v>
      </c>
      <c r="G83" s="18">
        <v>45691</v>
      </c>
      <c r="H83" s="18">
        <v>45691</v>
      </c>
      <c r="I83" s="18">
        <v>46022</v>
      </c>
      <c r="J83" s="7" t="str">
        <f>VLOOKUP(D83,Droplist!A:C,3,0)</f>
        <v>Jens Pottschul</v>
      </c>
      <c r="K83" s="7"/>
      <c r="L83" s="7" t="s">
        <v>267</v>
      </c>
      <c r="M83" s="7" t="str">
        <f t="shared" si="2"/>
        <v>NOT AWARDED</v>
      </c>
      <c r="N83" s="7" t="s">
        <v>354</v>
      </c>
      <c r="O83" s="7">
        <v>6183</v>
      </c>
      <c r="P83" s="7">
        <v>192</v>
      </c>
      <c r="Q83" s="13">
        <f t="shared" si="3"/>
        <v>32.203125</v>
      </c>
      <c r="R83" s="7"/>
      <c r="S83" s="7"/>
      <c r="T83" s="7"/>
      <c r="U83" s="7"/>
      <c r="V83" s="9" t="s">
        <v>409</v>
      </c>
    </row>
    <row r="84" spans="1:22" x14ac:dyDescent="0.25">
      <c r="A84" s="7">
        <v>1038</v>
      </c>
      <c r="B84" s="7">
        <v>2025</v>
      </c>
      <c r="C84" s="7" t="s">
        <v>261</v>
      </c>
      <c r="D84" s="7" t="s">
        <v>410</v>
      </c>
      <c r="E84" s="7" t="s">
        <v>411</v>
      </c>
      <c r="F84" s="7" t="s">
        <v>269</v>
      </c>
      <c r="G84" s="18">
        <v>45674</v>
      </c>
      <c r="H84" s="18">
        <v>45674</v>
      </c>
      <c r="I84" s="18">
        <v>45838</v>
      </c>
      <c r="J84" s="7" t="str">
        <f>VLOOKUP(D84,Droplist!A:C,3,0)</f>
        <v>Sylvia Lathouwers</v>
      </c>
      <c r="K84" s="7"/>
      <c r="L84" s="7" t="s">
        <v>267</v>
      </c>
      <c r="M84" s="7" t="str">
        <f t="shared" si="2"/>
        <v>NOT AWARDED</v>
      </c>
      <c r="N84" s="7" t="s">
        <v>354</v>
      </c>
      <c r="O84" s="7">
        <v>3230</v>
      </c>
      <c r="P84" s="7">
        <v>1669</v>
      </c>
      <c r="Q84" s="13">
        <f t="shared" si="3"/>
        <v>1.9352905931695625</v>
      </c>
      <c r="R84" s="7"/>
      <c r="S84" s="7"/>
      <c r="T84" s="7"/>
      <c r="U84" s="7"/>
      <c r="V84" s="9" t="s">
        <v>412</v>
      </c>
    </row>
    <row r="85" spans="1:22" x14ac:dyDescent="0.25">
      <c r="A85" s="7">
        <v>1039</v>
      </c>
      <c r="B85" s="7">
        <v>2025</v>
      </c>
      <c r="C85" s="7" t="s">
        <v>261</v>
      </c>
      <c r="D85" s="7" t="s">
        <v>55</v>
      </c>
      <c r="E85" s="7" t="s">
        <v>413</v>
      </c>
      <c r="F85" s="7" t="s">
        <v>269</v>
      </c>
      <c r="G85" s="18">
        <v>45714</v>
      </c>
      <c r="H85" s="18">
        <v>45748</v>
      </c>
      <c r="I85" s="18">
        <v>46112</v>
      </c>
      <c r="J85" s="7" t="str">
        <f>VLOOKUP(D85,Droplist!A:C,3,0)</f>
        <v>Mette B. Karapetian</v>
      </c>
      <c r="K85" s="7"/>
      <c r="L85" s="7" t="s">
        <v>267</v>
      </c>
      <c r="M85" s="7" t="str">
        <f t="shared" si="2"/>
        <v>NOT AWARDED</v>
      </c>
      <c r="N85" s="7" t="s">
        <v>354</v>
      </c>
      <c r="O85" s="7">
        <v>1675</v>
      </c>
      <c r="P85" s="7">
        <v>368</v>
      </c>
      <c r="Q85" s="13">
        <f t="shared" si="3"/>
        <v>4.5516304347826084</v>
      </c>
      <c r="R85" s="7"/>
      <c r="S85" s="7"/>
      <c r="T85" s="7">
        <v>1.4</v>
      </c>
      <c r="U85" s="7"/>
      <c r="V85" s="9"/>
    </row>
    <row r="86" spans="1:22" ht="57" x14ac:dyDescent="0.25">
      <c r="A86" s="7">
        <v>1040</v>
      </c>
      <c r="B86" s="7">
        <v>2025</v>
      </c>
      <c r="C86" s="7" t="s">
        <v>296</v>
      </c>
      <c r="D86" s="7" t="s">
        <v>55</v>
      </c>
      <c r="E86" s="7" t="s">
        <v>414</v>
      </c>
      <c r="F86" s="7" t="s">
        <v>269</v>
      </c>
      <c r="G86" s="18">
        <v>45919</v>
      </c>
      <c r="H86" s="18">
        <v>45919</v>
      </c>
      <c r="I86" s="18">
        <v>46112</v>
      </c>
      <c r="J86" s="7" t="str">
        <f>VLOOKUP(D86,Droplist!A:C,3,0)</f>
        <v>Mette B. Karapetian</v>
      </c>
      <c r="K86" s="7"/>
      <c r="L86" s="7" t="s">
        <v>267</v>
      </c>
      <c r="M86" s="7" t="str">
        <f t="shared" si="2"/>
        <v>NOT AWARDED</v>
      </c>
      <c r="N86" s="7" t="s">
        <v>268</v>
      </c>
      <c r="O86" s="7">
        <v>1968</v>
      </c>
      <c r="P86" s="7">
        <v>231</v>
      </c>
      <c r="Q86" s="13">
        <f t="shared" si="3"/>
        <v>8.5194805194805188</v>
      </c>
      <c r="R86" s="7"/>
      <c r="S86" s="7"/>
      <c r="T86" s="7"/>
      <c r="U86" s="7"/>
      <c r="V86" s="9" t="s">
        <v>415</v>
      </c>
    </row>
    <row r="87" spans="1:22" x14ac:dyDescent="0.25">
      <c r="A87" s="7">
        <v>1041</v>
      </c>
      <c r="B87" s="7">
        <v>2025</v>
      </c>
      <c r="C87" s="7" t="s">
        <v>261</v>
      </c>
      <c r="D87" s="7" t="s">
        <v>87</v>
      </c>
      <c r="E87" s="7" t="s">
        <v>416</v>
      </c>
      <c r="F87" s="7" t="s">
        <v>269</v>
      </c>
      <c r="G87" s="18">
        <v>45712</v>
      </c>
      <c r="H87" s="18">
        <v>45717</v>
      </c>
      <c r="I87" s="18">
        <v>46022</v>
      </c>
      <c r="J87" s="7" t="str">
        <f>VLOOKUP(D87,Droplist!A:C,3,0)</f>
        <v>Martin Schulz</v>
      </c>
      <c r="K87" s="7"/>
      <c r="L87" s="7" t="s">
        <v>267</v>
      </c>
      <c r="M87" s="7" t="str">
        <f t="shared" si="2"/>
        <v>NOT AWARDED</v>
      </c>
      <c r="N87" s="7" t="s">
        <v>268</v>
      </c>
      <c r="O87" s="7">
        <v>1573.17</v>
      </c>
      <c r="P87" s="7">
        <v>31</v>
      </c>
      <c r="Q87" s="13">
        <f t="shared" si="3"/>
        <v>50.747419354838712</v>
      </c>
      <c r="R87" s="7"/>
      <c r="S87" s="7"/>
      <c r="T87" s="7"/>
      <c r="U87" s="7"/>
      <c r="V87" s="9" t="s">
        <v>417</v>
      </c>
    </row>
    <row r="88" spans="1:22" x14ac:dyDescent="0.25">
      <c r="A88" s="7">
        <v>1042</v>
      </c>
      <c r="B88" s="7">
        <v>2025</v>
      </c>
      <c r="C88" s="7" t="s">
        <v>261</v>
      </c>
      <c r="D88" s="7" t="s">
        <v>87</v>
      </c>
      <c r="E88" s="7" t="s">
        <v>213</v>
      </c>
      <c r="F88" s="7" t="s">
        <v>269</v>
      </c>
      <c r="G88" s="18">
        <v>45890</v>
      </c>
      <c r="H88" s="18">
        <v>45931</v>
      </c>
      <c r="I88" s="18">
        <v>46112</v>
      </c>
      <c r="J88" s="7" t="str">
        <f>VLOOKUP(D88,Droplist!A:C,3,0)</f>
        <v>Martin Schulz</v>
      </c>
      <c r="K88" s="7" t="s">
        <v>213</v>
      </c>
      <c r="L88" s="7" t="s">
        <v>264</v>
      </c>
      <c r="M88" s="7" t="str">
        <f t="shared" si="2"/>
        <v>MAINTENANCE</v>
      </c>
      <c r="N88" s="7"/>
      <c r="O88" s="7">
        <v>1400</v>
      </c>
      <c r="P88" s="7">
        <v>66</v>
      </c>
      <c r="Q88" s="13">
        <f t="shared" si="3"/>
        <v>21.212121212121211</v>
      </c>
      <c r="R88" s="7">
        <v>1800</v>
      </c>
      <c r="S88" s="7">
        <v>150</v>
      </c>
      <c r="T88" s="7">
        <v>404.52699999999993</v>
      </c>
      <c r="U88" s="7"/>
      <c r="V88" s="9" t="s">
        <v>418</v>
      </c>
    </row>
    <row r="89" spans="1:22" x14ac:dyDescent="0.25">
      <c r="A89" s="7">
        <v>1043</v>
      </c>
      <c r="B89" s="7">
        <v>2025</v>
      </c>
      <c r="C89" s="7" t="s">
        <v>261</v>
      </c>
      <c r="D89" s="7" t="s">
        <v>87</v>
      </c>
      <c r="E89" s="7" t="s">
        <v>419</v>
      </c>
      <c r="F89" s="7" t="s">
        <v>269</v>
      </c>
      <c r="G89" s="18">
        <v>45708</v>
      </c>
      <c r="H89" s="18">
        <v>45708</v>
      </c>
      <c r="I89" s="18">
        <v>46022</v>
      </c>
      <c r="J89" s="7" t="str">
        <f>VLOOKUP(D89,Droplist!A:C,3,0)</f>
        <v>Martin Schulz</v>
      </c>
      <c r="K89" s="7"/>
      <c r="L89" s="7" t="s">
        <v>267</v>
      </c>
      <c r="M89" s="7" t="str">
        <f t="shared" si="2"/>
        <v>NOT AWARDED</v>
      </c>
      <c r="N89" s="7" t="s">
        <v>268</v>
      </c>
      <c r="O89" s="7">
        <v>600</v>
      </c>
      <c r="P89" s="7">
        <v>248</v>
      </c>
      <c r="Q89" s="13">
        <f t="shared" si="3"/>
        <v>2.4193548387096775</v>
      </c>
      <c r="R89" s="7"/>
      <c r="S89" s="7"/>
      <c r="T89" s="7"/>
      <c r="U89" s="7"/>
      <c r="V89" s="9"/>
    </row>
    <row r="90" spans="1:22" ht="23.25" x14ac:dyDescent="0.25">
      <c r="A90" s="7">
        <v>1044</v>
      </c>
      <c r="B90" s="7">
        <v>2025</v>
      </c>
      <c r="C90" s="7" t="s">
        <v>261</v>
      </c>
      <c r="D90" s="7" t="s">
        <v>99</v>
      </c>
      <c r="E90" s="7" t="s">
        <v>411</v>
      </c>
      <c r="F90" s="7" t="s">
        <v>269</v>
      </c>
      <c r="G90" s="18">
        <v>45734</v>
      </c>
      <c r="H90" s="18">
        <v>45734</v>
      </c>
      <c r="I90" s="18">
        <v>45838</v>
      </c>
      <c r="J90" s="7" t="str">
        <f>VLOOKUP(D90,Droplist!A:C,3,0)</f>
        <v>Kevin Taylor</v>
      </c>
      <c r="K90" s="7"/>
      <c r="L90" s="7" t="s">
        <v>267</v>
      </c>
      <c r="M90" s="7" t="str">
        <f t="shared" si="2"/>
        <v>NOT AWARDED</v>
      </c>
      <c r="N90" s="7" t="s">
        <v>354</v>
      </c>
      <c r="O90" s="7">
        <v>3254</v>
      </c>
      <c r="P90" s="7">
        <v>1669</v>
      </c>
      <c r="Q90" s="13">
        <f t="shared" si="3"/>
        <v>1.9496704613541043</v>
      </c>
      <c r="R90" s="7"/>
      <c r="S90" s="7"/>
      <c r="T90" s="7"/>
      <c r="U90" s="7"/>
      <c r="V90" s="9" t="s">
        <v>420</v>
      </c>
    </row>
    <row r="91" spans="1:22" ht="23.25" x14ac:dyDescent="0.25">
      <c r="A91" s="7">
        <v>1045</v>
      </c>
      <c r="B91" s="7">
        <v>2025</v>
      </c>
      <c r="C91" s="7" t="s">
        <v>261</v>
      </c>
      <c r="D91" s="7" t="s">
        <v>99</v>
      </c>
      <c r="E91" s="7" t="s">
        <v>421</v>
      </c>
      <c r="F91" s="7" t="s">
        <v>269</v>
      </c>
      <c r="G91" s="18">
        <v>45712</v>
      </c>
      <c r="H91" s="18">
        <v>45712</v>
      </c>
      <c r="I91" s="18">
        <v>45838</v>
      </c>
      <c r="J91" s="7" t="str">
        <f>VLOOKUP(D91,Droplist!A:C,3,0)</f>
        <v>Kevin Taylor</v>
      </c>
      <c r="K91" s="7"/>
      <c r="L91" s="7" t="s">
        <v>267</v>
      </c>
      <c r="M91" s="7" t="str">
        <f t="shared" si="2"/>
        <v>NOT AWARDED</v>
      </c>
      <c r="N91" s="7" t="s">
        <v>422</v>
      </c>
      <c r="O91" s="7">
        <v>19204</v>
      </c>
      <c r="P91" s="7">
        <v>322</v>
      </c>
      <c r="Q91" s="13">
        <f t="shared" si="3"/>
        <v>59.639751552795033</v>
      </c>
      <c r="R91" s="7"/>
      <c r="S91" s="7"/>
      <c r="T91" s="7"/>
      <c r="U91" s="7"/>
      <c r="V91" s="9" t="s">
        <v>423</v>
      </c>
    </row>
    <row r="92" spans="1:22" x14ac:dyDescent="0.25">
      <c r="A92" s="7">
        <v>1046</v>
      </c>
      <c r="B92" s="7">
        <v>2025</v>
      </c>
      <c r="C92" s="7" t="s">
        <v>261</v>
      </c>
      <c r="D92" s="7" t="s">
        <v>65</v>
      </c>
      <c r="E92" s="7" t="s">
        <v>193</v>
      </c>
      <c r="F92" s="7" t="s">
        <v>269</v>
      </c>
      <c r="G92" s="18">
        <v>45715</v>
      </c>
      <c r="H92" s="18">
        <v>45748</v>
      </c>
      <c r="I92" s="18">
        <v>46112</v>
      </c>
      <c r="J92" s="7" t="str">
        <f>VLOOKUP(D92,Droplist!A:C,3,0)</f>
        <v>Martin Schulz</v>
      </c>
      <c r="K92" s="7"/>
      <c r="L92" s="7" t="s">
        <v>267</v>
      </c>
      <c r="M92" s="7" t="str">
        <f t="shared" si="2"/>
        <v>NOT AWARDED</v>
      </c>
      <c r="N92" s="7" t="s">
        <v>268</v>
      </c>
      <c r="O92" s="7">
        <v>61464</v>
      </c>
      <c r="P92" s="7">
        <v>832</v>
      </c>
      <c r="Q92" s="13">
        <f t="shared" si="3"/>
        <v>73.875</v>
      </c>
      <c r="R92" s="7"/>
      <c r="S92" s="7"/>
      <c r="T92" s="7"/>
      <c r="U92" s="7"/>
      <c r="V92" s="9" t="s">
        <v>424</v>
      </c>
    </row>
    <row r="93" spans="1:22" x14ac:dyDescent="0.25">
      <c r="A93" s="7">
        <v>1095</v>
      </c>
      <c r="B93" s="7">
        <v>2025</v>
      </c>
      <c r="C93" s="7" t="s">
        <v>261</v>
      </c>
      <c r="D93" s="7" t="s">
        <v>229</v>
      </c>
      <c r="E93" s="7" t="s">
        <v>230</v>
      </c>
      <c r="F93" s="7" t="s">
        <v>269</v>
      </c>
      <c r="G93" s="18">
        <v>45723</v>
      </c>
      <c r="H93" s="18">
        <v>45748</v>
      </c>
      <c r="I93" s="18">
        <v>46022</v>
      </c>
      <c r="J93" s="7" t="e">
        <f>VLOOKUP(D93,Droplist!A:C,3,0)</f>
        <v>#N/A</v>
      </c>
      <c r="K93" s="7" t="s">
        <v>230</v>
      </c>
      <c r="L93" s="7" t="s">
        <v>264</v>
      </c>
      <c r="M93" s="7" t="str">
        <f t="shared" si="2"/>
        <v>PRIME</v>
      </c>
      <c r="N93" s="7"/>
      <c r="O93" s="7">
        <v>1530</v>
      </c>
      <c r="P93" s="7">
        <v>876</v>
      </c>
      <c r="Q93" s="13">
        <f t="shared" si="3"/>
        <v>1.7465753424657535</v>
      </c>
      <c r="R93" s="7">
        <v>1500</v>
      </c>
      <c r="S93" s="7">
        <v>130</v>
      </c>
      <c r="T93" s="7">
        <v>1317.0359999999994</v>
      </c>
      <c r="U93" s="7">
        <v>241.90100000000001</v>
      </c>
      <c r="V93" s="9" t="s">
        <v>425</v>
      </c>
    </row>
    <row r="94" spans="1:22" x14ac:dyDescent="0.25">
      <c r="A94" s="7">
        <v>1174</v>
      </c>
      <c r="B94" s="7">
        <v>2025</v>
      </c>
      <c r="C94" s="7" t="s">
        <v>296</v>
      </c>
      <c r="D94" s="7" t="s">
        <v>48</v>
      </c>
      <c r="E94" s="7" t="s">
        <v>426</v>
      </c>
      <c r="F94" s="7" t="s">
        <v>269</v>
      </c>
      <c r="G94" s="18">
        <v>45938</v>
      </c>
      <c r="H94" s="18">
        <v>45931</v>
      </c>
      <c r="I94" s="18">
        <v>46053</v>
      </c>
      <c r="J94" s="7" t="str">
        <f>VLOOKUP(D94,Droplist!A:C,3,0)</f>
        <v>Jakob Bluhme</v>
      </c>
      <c r="K94" s="7" t="s">
        <v>426</v>
      </c>
      <c r="L94" s="7" t="s">
        <v>264</v>
      </c>
      <c r="M94" s="7" t="str">
        <f t="shared" si="2"/>
        <v>AWARDED</v>
      </c>
      <c r="N94" s="7"/>
      <c r="O94" s="7">
        <v>3310</v>
      </c>
      <c r="P94" s="7">
        <v>93</v>
      </c>
      <c r="Q94" s="13">
        <f t="shared" si="3"/>
        <v>35.591397849462368</v>
      </c>
      <c r="R94" s="7">
        <v>1644</v>
      </c>
      <c r="S94" s="7">
        <v>130</v>
      </c>
      <c r="T94" s="7"/>
      <c r="U94" s="7"/>
      <c r="V94" s="9"/>
    </row>
    <row r="95" spans="1:22" x14ac:dyDescent="0.25">
      <c r="A95" s="7">
        <v>1175</v>
      </c>
      <c r="B95" s="7">
        <v>2025</v>
      </c>
      <c r="C95" s="7" t="s">
        <v>261</v>
      </c>
      <c r="D95" s="7" t="s">
        <v>48</v>
      </c>
      <c r="E95" s="7" t="s">
        <v>288</v>
      </c>
      <c r="F95" s="7" t="s">
        <v>269</v>
      </c>
      <c r="G95" s="18">
        <v>45729</v>
      </c>
      <c r="H95" s="18">
        <v>45748</v>
      </c>
      <c r="I95" s="18">
        <v>46053</v>
      </c>
      <c r="J95" s="7" t="str">
        <f>VLOOKUP(D95,Droplist!A:C,3,0)</f>
        <v>Jakob Bluhme</v>
      </c>
      <c r="K95" s="7" t="s">
        <v>289</v>
      </c>
      <c r="L95" s="7" t="s">
        <v>264</v>
      </c>
      <c r="M95" s="7" t="str">
        <f t="shared" si="2"/>
        <v>AWARDED</v>
      </c>
      <c r="N95" s="7"/>
      <c r="O95" s="7">
        <v>1862</v>
      </c>
      <c r="P95" s="7">
        <v>268</v>
      </c>
      <c r="Q95" s="13">
        <f t="shared" si="3"/>
        <v>6.9477611940298507</v>
      </c>
      <c r="R95" s="7">
        <v>270</v>
      </c>
      <c r="S95" s="7">
        <v>30</v>
      </c>
      <c r="T95" s="7"/>
      <c r="U95" s="7">
        <v>1.212</v>
      </c>
      <c r="V95" s="9" t="s">
        <v>427</v>
      </c>
    </row>
    <row r="96" spans="1:22" x14ac:dyDescent="0.25">
      <c r="A96" s="7">
        <v>1176</v>
      </c>
      <c r="B96" s="7">
        <v>2025</v>
      </c>
      <c r="C96" s="7" t="s">
        <v>261</v>
      </c>
      <c r="D96" s="7" t="s">
        <v>48</v>
      </c>
      <c r="E96" s="7" t="s">
        <v>428</v>
      </c>
      <c r="F96" s="7" t="s">
        <v>269</v>
      </c>
      <c r="G96" s="18">
        <v>45726</v>
      </c>
      <c r="H96" s="18">
        <v>45748</v>
      </c>
      <c r="I96" s="18">
        <v>45838</v>
      </c>
      <c r="J96" s="7" t="str">
        <f>VLOOKUP(D96,Droplist!A:C,3,0)</f>
        <v>Jakob Bluhme</v>
      </c>
      <c r="K96" s="7"/>
      <c r="L96" s="7" t="s">
        <v>267</v>
      </c>
      <c r="M96" s="7" t="str">
        <f t="shared" si="2"/>
        <v>NOT AWARDED</v>
      </c>
      <c r="N96" s="7" t="s">
        <v>429</v>
      </c>
      <c r="O96" s="7">
        <v>3902</v>
      </c>
      <c r="P96" s="7">
        <v>170</v>
      </c>
      <c r="Q96" s="13">
        <f t="shared" si="3"/>
        <v>22.952941176470588</v>
      </c>
      <c r="R96" s="7"/>
      <c r="S96" s="7"/>
      <c r="T96" s="7"/>
      <c r="U96" s="7"/>
      <c r="V96" s="9"/>
    </row>
    <row r="97" spans="1:22" x14ac:dyDescent="0.25">
      <c r="A97" s="7">
        <v>1177</v>
      </c>
      <c r="B97" s="7">
        <v>2025</v>
      </c>
      <c r="C97" s="7" t="s">
        <v>261</v>
      </c>
      <c r="D97" s="7" t="s">
        <v>48</v>
      </c>
      <c r="E97" s="7" t="s">
        <v>430</v>
      </c>
      <c r="F97" s="7" t="s">
        <v>269</v>
      </c>
      <c r="G97" s="18">
        <v>45728</v>
      </c>
      <c r="H97" s="18">
        <v>45728</v>
      </c>
      <c r="I97" s="18">
        <v>45838</v>
      </c>
      <c r="J97" s="7" t="str">
        <f>VLOOKUP(D97,Droplist!A:C,3,0)</f>
        <v>Jakob Bluhme</v>
      </c>
      <c r="K97" s="7"/>
      <c r="L97" s="7" t="s">
        <v>267</v>
      </c>
      <c r="M97" s="7" t="str">
        <f t="shared" si="2"/>
        <v>NOT AWARDED</v>
      </c>
      <c r="N97" s="7" t="s">
        <v>354</v>
      </c>
      <c r="O97" s="7">
        <v>1000</v>
      </c>
      <c r="P97" s="7">
        <v>84</v>
      </c>
      <c r="Q97" s="13">
        <f t="shared" si="3"/>
        <v>11.904761904761905</v>
      </c>
      <c r="R97" s="7"/>
      <c r="S97" s="7"/>
      <c r="T97" s="7"/>
      <c r="U97" s="7"/>
      <c r="V97" s="9" t="s">
        <v>431</v>
      </c>
    </row>
    <row r="98" spans="1:22" x14ac:dyDescent="0.25">
      <c r="A98" s="7">
        <v>1178</v>
      </c>
      <c r="B98" s="7">
        <v>2025</v>
      </c>
      <c r="C98" s="7" t="s">
        <v>261</v>
      </c>
      <c r="D98" s="7" t="s">
        <v>55</v>
      </c>
      <c r="E98" s="7" t="s">
        <v>432</v>
      </c>
      <c r="F98" s="7" t="s">
        <v>269</v>
      </c>
      <c r="G98" s="18">
        <v>45722</v>
      </c>
      <c r="H98" s="18">
        <v>45722</v>
      </c>
      <c r="I98" s="18">
        <v>45900</v>
      </c>
      <c r="J98" s="7" t="str">
        <f>VLOOKUP(D98,Droplist!A:C,3,0)</f>
        <v>Mette B. Karapetian</v>
      </c>
      <c r="K98" s="7"/>
      <c r="L98" s="7" t="s">
        <v>267</v>
      </c>
      <c r="M98" s="7" t="str">
        <f t="shared" si="2"/>
        <v>NOT AWARDED</v>
      </c>
      <c r="N98" s="7" t="s">
        <v>268</v>
      </c>
      <c r="O98" s="7">
        <v>2821</v>
      </c>
      <c r="P98" s="7">
        <v>62</v>
      </c>
      <c r="Q98" s="13">
        <f t="shared" si="3"/>
        <v>45.5</v>
      </c>
      <c r="R98" s="7"/>
      <c r="S98" s="7"/>
      <c r="T98" s="7"/>
      <c r="U98" s="7"/>
      <c r="V98" s="9" t="s">
        <v>371</v>
      </c>
    </row>
    <row r="99" spans="1:22" x14ac:dyDescent="0.25">
      <c r="A99" s="7">
        <v>1179</v>
      </c>
      <c r="B99" s="7">
        <v>2025</v>
      </c>
      <c r="C99" s="7" t="s">
        <v>261</v>
      </c>
      <c r="D99" s="7" t="s">
        <v>226</v>
      </c>
      <c r="E99" s="7" t="s">
        <v>227</v>
      </c>
      <c r="F99" s="7" t="s">
        <v>269</v>
      </c>
      <c r="G99" s="18">
        <v>45819</v>
      </c>
      <c r="H99" s="18">
        <v>45839</v>
      </c>
      <c r="I99" s="18">
        <v>45930</v>
      </c>
      <c r="J99" s="7" t="str">
        <f>VLOOKUP(D99,Droplist!A:C,3,0)</f>
        <v>Martin Schulz</v>
      </c>
      <c r="K99" s="7" t="s">
        <v>227</v>
      </c>
      <c r="L99" s="7" t="s">
        <v>277</v>
      </c>
      <c r="M99" s="7" t="str">
        <f t="shared" si="2"/>
        <v>AWARDED/EXPIRED</v>
      </c>
      <c r="N99" s="7"/>
      <c r="O99" s="7">
        <v>2761</v>
      </c>
      <c r="P99" s="7">
        <v>5</v>
      </c>
      <c r="Q99" s="13">
        <f t="shared" si="3"/>
        <v>552.20000000000005</v>
      </c>
      <c r="R99" s="7">
        <v>2761</v>
      </c>
      <c r="S99" s="7">
        <v>230</v>
      </c>
      <c r="T99" s="7">
        <v>227.34299999999999</v>
      </c>
      <c r="U99" s="7">
        <v>12.876000000000001</v>
      </c>
      <c r="V99" s="9"/>
    </row>
    <row r="100" spans="1:22" x14ac:dyDescent="0.25">
      <c r="A100" s="7">
        <v>1180</v>
      </c>
      <c r="B100" s="7">
        <v>2025</v>
      </c>
      <c r="C100" s="7" t="s">
        <v>261</v>
      </c>
      <c r="D100" s="7" t="s">
        <v>433</v>
      </c>
      <c r="E100" s="7" t="s">
        <v>386</v>
      </c>
      <c r="F100" s="7" t="s">
        <v>269</v>
      </c>
      <c r="G100" s="18">
        <v>45722</v>
      </c>
      <c r="H100" s="18">
        <v>45722</v>
      </c>
      <c r="I100" s="18">
        <v>45807</v>
      </c>
      <c r="J100" s="7" t="str">
        <f>VLOOKUP(D100,Droplist!A:C,3,0)</f>
        <v>Bruce Ericson</v>
      </c>
      <c r="K100" s="7"/>
      <c r="L100" s="7" t="s">
        <v>267</v>
      </c>
      <c r="M100" s="7" t="str">
        <f t="shared" si="2"/>
        <v>NOT AWARDED</v>
      </c>
      <c r="N100" s="7" t="s">
        <v>354</v>
      </c>
      <c r="O100" s="7">
        <v>500</v>
      </c>
      <c r="P100" s="7">
        <v>69</v>
      </c>
      <c r="Q100" s="13">
        <f t="shared" si="3"/>
        <v>7.2463768115942031</v>
      </c>
      <c r="R100" s="7"/>
      <c r="S100" s="7"/>
      <c r="T100" s="7"/>
      <c r="U100" s="7"/>
      <c r="V100" s="9" t="s">
        <v>371</v>
      </c>
    </row>
    <row r="101" spans="1:22" x14ac:dyDescent="0.25">
      <c r="A101" s="7">
        <v>1181</v>
      </c>
      <c r="B101" s="7">
        <v>2025</v>
      </c>
      <c r="C101" s="7" t="s">
        <v>261</v>
      </c>
      <c r="D101" s="7" t="s">
        <v>72</v>
      </c>
      <c r="E101" s="7" t="s">
        <v>434</v>
      </c>
      <c r="F101" s="7" t="s">
        <v>269</v>
      </c>
      <c r="G101" s="18">
        <v>45728</v>
      </c>
      <c r="H101" s="18">
        <v>45728</v>
      </c>
      <c r="I101" s="18">
        <v>45900</v>
      </c>
      <c r="J101" s="7" t="str">
        <f>VLOOKUP(D101,Droplist!A:C,3,0)</f>
        <v>Jens Pottschul</v>
      </c>
      <c r="K101" s="7" t="s">
        <v>434</v>
      </c>
      <c r="L101" s="7" t="s">
        <v>277</v>
      </c>
      <c r="M101" s="7" t="str">
        <f t="shared" si="2"/>
        <v>AWARDED/EXPIRED</v>
      </c>
      <c r="N101" s="7"/>
      <c r="O101" s="7">
        <v>1326.3</v>
      </c>
      <c r="P101" s="7">
        <v>8</v>
      </c>
      <c r="Q101" s="13">
        <f t="shared" si="3"/>
        <v>165.78749999999999</v>
      </c>
      <c r="R101" s="7">
        <v>1326</v>
      </c>
      <c r="S101" s="7">
        <v>110</v>
      </c>
      <c r="T101" s="7"/>
      <c r="U101" s="7">
        <v>1.69</v>
      </c>
      <c r="V101" s="9" t="s">
        <v>371</v>
      </c>
    </row>
    <row r="102" spans="1:22" x14ac:dyDescent="0.25">
      <c r="A102" s="7">
        <v>1182</v>
      </c>
      <c r="B102" s="7">
        <v>2025</v>
      </c>
      <c r="C102" s="7" t="s">
        <v>261</v>
      </c>
      <c r="D102" s="7" t="s">
        <v>75</v>
      </c>
      <c r="E102" s="7" t="s">
        <v>435</v>
      </c>
      <c r="F102" s="7" t="s">
        <v>269</v>
      </c>
      <c r="G102" s="18">
        <v>45723</v>
      </c>
      <c r="H102" s="18">
        <v>45748</v>
      </c>
      <c r="I102" s="18">
        <v>45838</v>
      </c>
      <c r="J102" s="7" t="str">
        <f>VLOOKUP(D102,Droplist!A:C,3,0)</f>
        <v>Martin Schulz</v>
      </c>
      <c r="K102" s="7"/>
      <c r="L102" s="7" t="s">
        <v>267</v>
      </c>
      <c r="M102" s="7" t="str">
        <f t="shared" si="2"/>
        <v>NOT AWARDED</v>
      </c>
      <c r="N102" s="7" t="s">
        <v>285</v>
      </c>
      <c r="O102" s="7">
        <v>1128</v>
      </c>
      <c r="P102" s="7">
        <v>79</v>
      </c>
      <c r="Q102" s="13">
        <f t="shared" si="3"/>
        <v>14.278481012658228</v>
      </c>
      <c r="R102" s="7"/>
      <c r="S102" s="7"/>
      <c r="T102" s="7"/>
      <c r="U102" s="7"/>
      <c r="V102" s="9"/>
    </row>
    <row r="103" spans="1:22" ht="23.25" x14ac:dyDescent="0.25">
      <c r="A103" s="7">
        <v>1183</v>
      </c>
      <c r="B103" s="7">
        <v>2025</v>
      </c>
      <c r="C103" s="7" t="s">
        <v>261</v>
      </c>
      <c r="D103" s="7" t="s">
        <v>75</v>
      </c>
      <c r="E103" s="7" t="s">
        <v>404</v>
      </c>
      <c r="F103" s="7" t="s">
        <v>269</v>
      </c>
      <c r="G103" s="18">
        <v>45728</v>
      </c>
      <c r="H103" s="18">
        <v>45778</v>
      </c>
      <c r="I103" s="18">
        <v>45961</v>
      </c>
      <c r="J103" s="7" t="str">
        <f>VLOOKUP(D103,Droplist!A:C,3,0)</f>
        <v>Martin Schulz</v>
      </c>
      <c r="K103" s="7"/>
      <c r="L103" s="7" t="s">
        <v>267</v>
      </c>
      <c r="M103" s="7" t="str">
        <f t="shared" si="2"/>
        <v>NOT AWARDED</v>
      </c>
      <c r="N103" s="7" t="s">
        <v>436</v>
      </c>
      <c r="O103" s="7">
        <v>7300</v>
      </c>
      <c r="P103" s="7">
        <v>30</v>
      </c>
      <c r="Q103" s="13">
        <f t="shared" si="3"/>
        <v>243.33333333333334</v>
      </c>
      <c r="R103" s="7"/>
      <c r="S103" s="7"/>
      <c r="T103" s="7"/>
      <c r="U103" s="7"/>
      <c r="V103" s="9" t="s">
        <v>437</v>
      </c>
    </row>
    <row r="104" spans="1:22" x14ac:dyDescent="0.25">
      <c r="A104" s="7">
        <v>1184</v>
      </c>
      <c r="B104" s="7">
        <v>2025</v>
      </c>
      <c r="C104" s="7" t="s">
        <v>261</v>
      </c>
      <c r="D104" s="7" t="s">
        <v>80</v>
      </c>
      <c r="E104" s="7" t="s">
        <v>242</v>
      </c>
      <c r="F104" s="7" t="s">
        <v>269</v>
      </c>
      <c r="G104" s="18">
        <v>45912</v>
      </c>
      <c r="H104" s="18">
        <v>45931</v>
      </c>
      <c r="I104" s="18">
        <v>46022</v>
      </c>
      <c r="J104" s="7" t="str">
        <f>VLOOKUP(D104,Droplist!A:C,3,0)</f>
        <v>Jens Pottschul</v>
      </c>
      <c r="K104" s="7" t="s">
        <v>242</v>
      </c>
      <c r="L104" s="7" t="s">
        <v>264</v>
      </c>
      <c r="M104" s="7" t="str">
        <f t="shared" si="2"/>
        <v>AWARDED</v>
      </c>
      <c r="N104" s="7"/>
      <c r="O104" s="7">
        <v>38908</v>
      </c>
      <c r="P104" s="7">
        <v>44</v>
      </c>
      <c r="Q104" s="13">
        <f t="shared" si="3"/>
        <v>884.27272727272725</v>
      </c>
      <c r="R104" s="7" t="s">
        <v>265</v>
      </c>
      <c r="S104" s="7" t="s">
        <v>265</v>
      </c>
      <c r="T104" s="7">
        <v>212.77500000000001</v>
      </c>
      <c r="U104" s="7">
        <v>57.616</v>
      </c>
      <c r="V104" s="9" t="s">
        <v>438</v>
      </c>
    </row>
    <row r="105" spans="1:22" x14ac:dyDescent="0.25">
      <c r="A105" s="7">
        <v>1185</v>
      </c>
      <c r="B105" s="7">
        <v>2025</v>
      </c>
      <c r="C105" s="7" t="s">
        <v>261</v>
      </c>
      <c r="D105" s="7" t="s">
        <v>80</v>
      </c>
      <c r="E105" s="7" t="s">
        <v>439</v>
      </c>
      <c r="F105" s="7" t="s">
        <v>269</v>
      </c>
      <c r="G105" s="18">
        <v>45730</v>
      </c>
      <c r="H105" s="18">
        <v>45733</v>
      </c>
      <c r="I105" s="18">
        <v>45900</v>
      </c>
      <c r="J105" s="7" t="str">
        <f>VLOOKUP(D105,Droplist!A:C,3,0)</f>
        <v>Jens Pottschul</v>
      </c>
      <c r="K105" s="7"/>
      <c r="L105" s="7" t="s">
        <v>267</v>
      </c>
      <c r="M105" s="7" t="str">
        <f t="shared" si="2"/>
        <v>NOT AWARDED</v>
      </c>
      <c r="N105" s="7" t="s">
        <v>268</v>
      </c>
      <c r="O105" s="7">
        <v>6772</v>
      </c>
      <c r="P105" s="7">
        <v>93</v>
      </c>
      <c r="Q105" s="13">
        <f t="shared" si="3"/>
        <v>72.817204301075265</v>
      </c>
      <c r="R105" s="7"/>
      <c r="S105" s="7"/>
      <c r="T105" s="7"/>
      <c r="U105" s="7"/>
      <c r="V105" s="9" t="s">
        <v>440</v>
      </c>
    </row>
    <row r="106" spans="1:22" x14ac:dyDescent="0.25">
      <c r="A106" s="7">
        <v>1186</v>
      </c>
      <c r="B106" s="7">
        <v>2025</v>
      </c>
      <c r="C106" s="7" t="s">
        <v>261</v>
      </c>
      <c r="D106" s="7" t="s">
        <v>81</v>
      </c>
      <c r="E106" s="7" t="s">
        <v>441</v>
      </c>
      <c r="F106" s="7" t="s">
        <v>269</v>
      </c>
      <c r="G106" s="18">
        <v>45734</v>
      </c>
      <c r="H106" s="18">
        <v>45748</v>
      </c>
      <c r="I106" s="18">
        <v>45838</v>
      </c>
      <c r="J106" s="7" t="str">
        <f>VLOOKUP(D106,Droplist!A:C,3,0)</f>
        <v>Jens Pottschul</v>
      </c>
      <c r="K106" s="7"/>
      <c r="L106" s="7" t="s">
        <v>267</v>
      </c>
      <c r="M106" s="7" t="str">
        <f t="shared" si="2"/>
        <v>NOT AWARDED</v>
      </c>
      <c r="N106" s="7" t="s">
        <v>442</v>
      </c>
      <c r="O106" s="7">
        <v>1507</v>
      </c>
      <c r="P106" s="7">
        <v>84</v>
      </c>
      <c r="Q106" s="13">
        <f t="shared" si="3"/>
        <v>17.94047619047619</v>
      </c>
      <c r="R106" s="7"/>
      <c r="S106" s="7"/>
      <c r="T106" s="7"/>
      <c r="U106" s="7"/>
      <c r="V106" s="9"/>
    </row>
    <row r="107" spans="1:22" x14ac:dyDescent="0.25">
      <c r="A107" s="7">
        <v>1187</v>
      </c>
      <c r="B107" s="7">
        <v>2025</v>
      </c>
      <c r="C107" s="7" t="s">
        <v>261</v>
      </c>
      <c r="D107" s="7" t="s">
        <v>84</v>
      </c>
      <c r="E107" s="7" t="s">
        <v>184</v>
      </c>
      <c r="F107" s="7" t="s">
        <v>269</v>
      </c>
      <c r="G107" s="18">
        <v>45734</v>
      </c>
      <c r="H107" s="18">
        <v>45748</v>
      </c>
      <c r="I107" s="18">
        <v>45838</v>
      </c>
      <c r="J107" s="7" t="str">
        <f>VLOOKUP(D107,Droplist!A:C,3,0)</f>
        <v>Martin Schulz</v>
      </c>
      <c r="K107" s="7"/>
      <c r="L107" s="7" t="s">
        <v>267</v>
      </c>
      <c r="M107" s="7" t="str">
        <f t="shared" si="2"/>
        <v>NOT AWARDED</v>
      </c>
      <c r="N107" s="7" t="s">
        <v>285</v>
      </c>
      <c r="O107" s="7">
        <v>1444</v>
      </c>
      <c r="P107" s="7">
        <v>49</v>
      </c>
      <c r="Q107" s="13">
        <f t="shared" si="3"/>
        <v>29.469387755102041</v>
      </c>
      <c r="R107" s="7"/>
      <c r="S107" s="7"/>
      <c r="T107" s="7"/>
      <c r="U107" s="7"/>
      <c r="V107" s="9"/>
    </row>
    <row r="108" spans="1:22" x14ac:dyDescent="0.25">
      <c r="A108" s="7">
        <v>1188</v>
      </c>
      <c r="B108" s="7">
        <v>2025</v>
      </c>
      <c r="C108" s="7" t="s">
        <v>261</v>
      </c>
      <c r="D108" s="7" t="s">
        <v>99</v>
      </c>
      <c r="E108" s="7" t="s">
        <v>443</v>
      </c>
      <c r="F108" s="7" t="s">
        <v>263</v>
      </c>
      <c r="G108" s="18">
        <v>45737</v>
      </c>
      <c r="H108" s="18">
        <v>45748</v>
      </c>
      <c r="I108" s="18">
        <v>45900</v>
      </c>
      <c r="J108" s="7" t="str">
        <f>VLOOKUP(D108,Droplist!A:C,3,0)</f>
        <v>Kevin Taylor</v>
      </c>
      <c r="K108" s="7" t="s">
        <v>443</v>
      </c>
      <c r="L108" s="7" t="s">
        <v>277</v>
      </c>
      <c r="M108" s="7" t="str">
        <f t="shared" si="2"/>
        <v>AWARDED/EXPIRED</v>
      </c>
      <c r="N108" s="7"/>
      <c r="O108" s="7">
        <v>914</v>
      </c>
      <c r="P108" s="7">
        <v>263</v>
      </c>
      <c r="Q108" s="13">
        <f t="shared" si="3"/>
        <v>3.4752851711026618</v>
      </c>
      <c r="R108" s="7" t="s">
        <v>265</v>
      </c>
      <c r="S108" s="7" t="s">
        <v>265</v>
      </c>
      <c r="T108" s="7"/>
      <c r="U108" s="7"/>
      <c r="V108" s="9" t="s">
        <v>444</v>
      </c>
    </row>
    <row r="109" spans="1:22" ht="23.25" x14ac:dyDescent="0.25">
      <c r="A109" s="7">
        <v>1189</v>
      </c>
      <c r="B109" s="7">
        <v>2025</v>
      </c>
      <c r="C109" s="7" t="s">
        <v>261</v>
      </c>
      <c r="D109" s="7" t="s">
        <v>102</v>
      </c>
      <c r="E109" s="7" t="s">
        <v>209</v>
      </c>
      <c r="F109" s="7" t="s">
        <v>269</v>
      </c>
      <c r="G109" s="18">
        <v>45726</v>
      </c>
      <c r="H109" s="18">
        <v>45726</v>
      </c>
      <c r="I109" s="18">
        <v>45900</v>
      </c>
      <c r="J109" s="7" t="str">
        <f>VLOOKUP(D109,Droplist!A:C,3,0)</f>
        <v>Jens Pottschul</v>
      </c>
      <c r="K109" s="7"/>
      <c r="L109" s="7" t="s">
        <v>267</v>
      </c>
      <c r="M109" s="7" t="str">
        <f t="shared" si="2"/>
        <v>NOT AWARDED</v>
      </c>
      <c r="N109" s="7" t="s">
        <v>268</v>
      </c>
      <c r="O109" s="7">
        <v>2724</v>
      </c>
      <c r="P109" s="7">
        <v>75</v>
      </c>
      <c r="Q109" s="13">
        <f t="shared" si="3"/>
        <v>36.32</v>
      </c>
      <c r="R109" s="7"/>
      <c r="S109" s="7"/>
      <c r="T109" s="7"/>
      <c r="U109" s="7"/>
      <c r="V109" s="9" t="s">
        <v>445</v>
      </c>
    </row>
    <row r="110" spans="1:22" x14ac:dyDescent="0.25">
      <c r="A110" s="7">
        <v>1190</v>
      </c>
      <c r="B110" s="7">
        <v>2025</v>
      </c>
      <c r="C110" s="7" t="s">
        <v>261</v>
      </c>
      <c r="D110" s="7" t="s">
        <v>102</v>
      </c>
      <c r="E110" s="7" t="s">
        <v>385</v>
      </c>
      <c r="F110" s="7" t="s">
        <v>269</v>
      </c>
      <c r="G110" s="18">
        <v>45730</v>
      </c>
      <c r="H110" s="18">
        <v>45748</v>
      </c>
      <c r="I110" s="18">
        <v>46022</v>
      </c>
      <c r="J110" s="7" t="str">
        <f>VLOOKUP(D110,Droplist!A:C,3,0)</f>
        <v>Jens Pottschul</v>
      </c>
      <c r="K110" s="7" t="s">
        <v>446</v>
      </c>
      <c r="L110" s="7" t="s">
        <v>264</v>
      </c>
      <c r="M110" s="7" t="str">
        <f t="shared" si="2"/>
        <v>MAINTENANCE</v>
      </c>
      <c r="N110" s="7"/>
      <c r="O110" s="7">
        <v>1750</v>
      </c>
      <c r="P110" s="7">
        <v>38</v>
      </c>
      <c r="Q110" s="13">
        <f t="shared" si="3"/>
        <v>46.05263157894737</v>
      </c>
      <c r="R110" s="7">
        <v>1255</v>
      </c>
      <c r="S110" s="7">
        <v>150</v>
      </c>
      <c r="T110" s="7">
        <v>322.57900000000006</v>
      </c>
      <c r="U110" s="7">
        <v>94.869000000000014</v>
      </c>
      <c r="V110" s="9" t="s">
        <v>447</v>
      </c>
    </row>
    <row r="111" spans="1:22" x14ac:dyDescent="0.25">
      <c r="A111" s="7">
        <v>1191</v>
      </c>
      <c r="B111" s="7">
        <v>2025</v>
      </c>
      <c r="C111" s="7" t="s">
        <v>261</v>
      </c>
      <c r="D111" s="7" t="s">
        <v>410</v>
      </c>
      <c r="E111" s="7" t="s">
        <v>396</v>
      </c>
      <c r="F111" s="7" t="s">
        <v>269</v>
      </c>
      <c r="G111" s="18">
        <v>45723</v>
      </c>
      <c r="H111" s="18">
        <v>45723</v>
      </c>
      <c r="I111" s="18">
        <v>45747</v>
      </c>
      <c r="J111" s="7" t="str">
        <f>VLOOKUP(D111,Droplist!A:C,3,0)</f>
        <v>Sylvia Lathouwers</v>
      </c>
      <c r="K111" s="7" t="s">
        <v>396</v>
      </c>
      <c r="L111" s="7" t="s">
        <v>277</v>
      </c>
      <c r="M111" s="7" t="str">
        <f t="shared" si="2"/>
        <v>AWARDED/EXPIRED</v>
      </c>
      <c r="N111" s="7"/>
      <c r="O111" s="7">
        <v>7200</v>
      </c>
      <c r="P111" s="7">
        <v>236</v>
      </c>
      <c r="Q111" s="13">
        <f t="shared" si="3"/>
        <v>30.508474576271187</v>
      </c>
      <c r="R111" s="7"/>
      <c r="S111" s="7"/>
      <c r="T111" s="7"/>
      <c r="U111" s="7"/>
      <c r="V111" s="9" t="s">
        <v>448</v>
      </c>
    </row>
    <row r="112" spans="1:22" ht="23.25" x14ac:dyDescent="0.25">
      <c r="A112" s="7">
        <v>1192</v>
      </c>
      <c r="B112" s="7">
        <v>2025</v>
      </c>
      <c r="C112" s="7" t="s">
        <v>261</v>
      </c>
      <c r="D112" s="7" t="s">
        <v>45</v>
      </c>
      <c r="E112" s="7" t="s">
        <v>209</v>
      </c>
      <c r="F112" s="7" t="s">
        <v>269</v>
      </c>
      <c r="G112" s="18">
        <v>45726</v>
      </c>
      <c r="H112" s="18">
        <v>45726</v>
      </c>
      <c r="I112" s="18">
        <v>45900</v>
      </c>
      <c r="J112" s="7" t="str">
        <f>VLOOKUP(D112,Droplist!A:C,3,0)</f>
        <v>Dennis Frankowski</v>
      </c>
      <c r="K112" s="7"/>
      <c r="L112" s="7" t="s">
        <v>267</v>
      </c>
      <c r="M112" s="7" t="str">
        <f t="shared" si="2"/>
        <v>NOT AWARDED</v>
      </c>
      <c r="N112" s="7" t="s">
        <v>268</v>
      </c>
      <c r="O112" s="7">
        <v>2031</v>
      </c>
      <c r="P112" s="7">
        <v>56</v>
      </c>
      <c r="Q112" s="13">
        <f t="shared" si="3"/>
        <v>36.267857142857146</v>
      </c>
      <c r="R112" s="7"/>
      <c r="S112" s="7"/>
      <c r="T112" s="7"/>
      <c r="U112" s="7"/>
      <c r="V112" s="9" t="s">
        <v>449</v>
      </c>
    </row>
    <row r="113" spans="1:22" x14ac:dyDescent="0.25">
      <c r="A113" s="7">
        <v>1196</v>
      </c>
      <c r="B113" s="7">
        <v>2025</v>
      </c>
      <c r="C113" s="7" t="s">
        <v>261</v>
      </c>
      <c r="D113" s="7" t="s">
        <v>48</v>
      </c>
      <c r="E113" s="7" t="s">
        <v>394</v>
      </c>
      <c r="F113" s="7" t="s">
        <v>269</v>
      </c>
      <c r="G113" s="18">
        <v>45763</v>
      </c>
      <c r="H113" s="18">
        <v>45809</v>
      </c>
      <c r="I113" s="18">
        <v>46053</v>
      </c>
      <c r="J113" s="7" t="str">
        <f>VLOOKUP(D113,Droplist!A:C,3,0)</f>
        <v>Jakob Bluhme</v>
      </c>
      <c r="K113" s="7" t="s">
        <v>394</v>
      </c>
      <c r="L113" s="7" t="s">
        <v>264</v>
      </c>
      <c r="M113" s="7" t="str">
        <f t="shared" si="2"/>
        <v>MAINTENANCE</v>
      </c>
      <c r="N113" s="7"/>
      <c r="O113" s="7">
        <v>26814</v>
      </c>
      <c r="P113" s="7">
        <v>437</v>
      </c>
      <c r="Q113" s="13">
        <f t="shared" si="3"/>
        <v>61.359267734553775</v>
      </c>
      <c r="R113" s="7" t="s">
        <v>280</v>
      </c>
      <c r="S113" s="7" t="s">
        <v>280</v>
      </c>
      <c r="T113" s="7">
        <v>321.077</v>
      </c>
      <c r="U113" s="7">
        <v>30.954999999999998</v>
      </c>
      <c r="V113" s="9"/>
    </row>
    <row r="114" spans="1:22" x14ac:dyDescent="0.25">
      <c r="A114" s="7">
        <v>1198</v>
      </c>
      <c r="B114" s="7">
        <v>2025</v>
      </c>
      <c r="C114" s="7" t="s">
        <v>261</v>
      </c>
      <c r="D114" s="7" t="s">
        <v>48</v>
      </c>
      <c r="E114" s="7" t="s">
        <v>223</v>
      </c>
      <c r="F114" s="7" t="s">
        <v>269</v>
      </c>
      <c r="G114" s="18">
        <v>45819</v>
      </c>
      <c r="H114" s="18">
        <v>45819</v>
      </c>
      <c r="I114" s="18">
        <v>46053</v>
      </c>
      <c r="J114" s="7" t="str">
        <f>VLOOKUP(D114,Droplist!A:C,3,0)</f>
        <v>Jakob Bluhme</v>
      </c>
      <c r="K114" s="7" t="s">
        <v>223</v>
      </c>
      <c r="L114" s="7" t="s">
        <v>264</v>
      </c>
      <c r="M114" s="7" t="str">
        <f t="shared" si="2"/>
        <v>AWARDED</v>
      </c>
      <c r="N114" s="7"/>
      <c r="O114" s="7">
        <v>4801</v>
      </c>
      <c r="P114" s="7">
        <v>445</v>
      </c>
      <c r="Q114" s="13">
        <f t="shared" si="3"/>
        <v>10.78876404494382</v>
      </c>
      <c r="R114" s="7" t="s">
        <v>280</v>
      </c>
      <c r="S114" s="7" t="s">
        <v>280</v>
      </c>
      <c r="T114" s="7">
        <v>193.06300000000002</v>
      </c>
      <c r="U114" s="7">
        <v>88.70999999999998</v>
      </c>
      <c r="V114" s="9"/>
    </row>
    <row r="115" spans="1:22" x14ac:dyDescent="0.25">
      <c r="A115" s="7">
        <v>1225</v>
      </c>
      <c r="B115" s="7">
        <v>2025</v>
      </c>
      <c r="C115" s="7" t="s">
        <v>261</v>
      </c>
      <c r="D115" s="7" t="s">
        <v>190</v>
      </c>
      <c r="E115" s="7" t="s">
        <v>191</v>
      </c>
      <c r="F115" s="7" t="s">
        <v>269</v>
      </c>
      <c r="G115" s="18">
        <v>45931</v>
      </c>
      <c r="H115" s="18">
        <v>45931</v>
      </c>
      <c r="I115" s="18">
        <v>46022</v>
      </c>
      <c r="J115" s="7" t="str">
        <f>VLOOKUP(D115,Droplist!A:C,3,0)</f>
        <v>Kevin Taylor</v>
      </c>
      <c r="K115" s="7" t="s">
        <v>191</v>
      </c>
      <c r="L115" s="7" t="s">
        <v>264</v>
      </c>
      <c r="M115" s="7" t="str">
        <f t="shared" si="2"/>
        <v>MAINTENANCE</v>
      </c>
      <c r="N115" s="7"/>
      <c r="O115" s="7">
        <v>3350</v>
      </c>
      <c r="P115" s="7">
        <v>359</v>
      </c>
      <c r="Q115" s="13">
        <f t="shared" si="3"/>
        <v>9.3314763231197766</v>
      </c>
      <c r="R115" s="7" t="s">
        <v>265</v>
      </c>
      <c r="S115" s="7" t="s">
        <v>265</v>
      </c>
      <c r="T115" s="7">
        <v>517.81100000000015</v>
      </c>
      <c r="U115" s="7">
        <v>48.849999999999994</v>
      </c>
      <c r="V115" s="9"/>
    </row>
    <row r="116" spans="1:22" x14ac:dyDescent="0.25">
      <c r="A116" s="7">
        <v>1226</v>
      </c>
      <c r="B116" s="7">
        <v>2025</v>
      </c>
      <c r="C116" s="7" t="s">
        <v>261</v>
      </c>
      <c r="D116" s="7" t="s">
        <v>450</v>
      </c>
      <c r="E116" s="7" t="s">
        <v>451</v>
      </c>
      <c r="F116" s="7" t="s">
        <v>269</v>
      </c>
      <c r="G116" s="18">
        <v>45740</v>
      </c>
      <c r="H116" s="18">
        <v>45748</v>
      </c>
      <c r="I116" s="18">
        <v>45930</v>
      </c>
      <c r="J116" s="7" t="str">
        <f>VLOOKUP(D116,Droplist!A:C,3,0)</f>
        <v>Jakob Bluhme</v>
      </c>
      <c r="K116" s="7"/>
      <c r="L116" s="7" t="s">
        <v>267</v>
      </c>
      <c r="M116" s="7" t="str">
        <f t="shared" si="2"/>
        <v>NOT AWARDED</v>
      </c>
      <c r="N116" s="7" t="s">
        <v>268</v>
      </c>
      <c r="O116" s="7">
        <v>3000</v>
      </c>
      <c r="P116" s="7">
        <v>425</v>
      </c>
      <c r="Q116" s="13">
        <f t="shared" si="3"/>
        <v>7.0588235294117645</v>
      </c>
      <c r="R116" s="7"/>
      <c r="S116" s="7"/>
      <c r="T116" s="7"/>
      <c r="U116" s="7"/>
      <c r="V116" s="9"/>
    </row>
    <row r="117" spans="1:22" ht="34.5" x14ac:dyDescent="0.25">
      <c r="A117" s="7">
        <v>1227</v>
      </c>
      <c r="B117" s="7">
        <v>2025</v>
      </c>
      <c r="C117" s="7" t="s">
        <v>261</v>
      </c>
      <c r="D117" s="7" t="s">
        <v>99</v>
      </c>
      <c r="E117" s="7" t="s">
        <v>452</v>
      </c>
      <c r="F117" s="7" t="s">
        <v>269</v>
      </c>
      <c r="G117" s="18">
        <v>45736</v>
      </c>
      <c r="H117" s="18">
        <v>45736</v>
      </c>
      <c r="I117" s="18">
        <v>45900</v>
      </c>
      <c r="J117" s="7" t="str">
        <f>VLOOKUP(D117,Droplist!A:C,3,0)</f>
        <v>Kevin Taylor</v>
      </c>
      <c r="K117" s="7" t="s">
        <v>298</v>
      </c>
      <c r="L117" s="7" t="s">
        <v>277</v>
      </c>
      <c r="M117" s="7" t="str">
        <f t="shared" si="2"/>
        <v>AWARDED/EXPIRED</v>
      </c>
      <c r="N117" s="7"/>
      <c r="O117" s="7">
        <v>2500</v>
      </c>
      <c r="P117" s="7">
        <v>96</v>
      </c>
      <c r="Q117" s="13">
        <f t="shared" si="3"/>
        <v>26.041666666666668</v>
      </c>
      <c r="R117" s="7" t="s">
        <v>265</v>
      </c>
      <c r="S117" s="7" t="s">
        <v>265</v>
      </c>
      <c r="T117" s="7"/>
      <c r="U117" s="7"/>
      <c r="V117" s="9" t="s">
        <v>453</v>
      </c>
    </row>
    <row r="118" spans="1:22" x14ac:dyDescent="0.25">
      <c r="A118" s="7">
        <v>1228</v>
      </c>
      <c r="B118" s="7">
        <v>2025</v>
      </c>
      <c r="C118" s="7" t="s">
        <v>261</v>
      </c>
      <c r="D118" s="7" t="s">
        <v>433</v>
      </c>
      <c r="E118" s="7" t="s">
        <v>239</v>
      </c>
      <c r="F118" s="7" t="s">
        <v>269</v>
      </c>
      <c r="G118" s="18">
        <v>45737</v>
      </c>
      <c r="H118" s="18">
        <v>45737</v>
      </c>
      <c r="I118" s="18">
        <v>45900</v>
      </c>
      <c r="J118" s="7" t="str">
        <f>VLOOKUP(D118,Droplist!A:C,3,0)</f>
        <v>Bruce Ericson</v>
      </c>
      <c r="K118" s="7"/>
      <c r="L118" s="7" t="s">
        <v>267</v>
      </c>
      <c r="M118" s="7" t="str">
        <f t="shared" si="2"/>
        <v>NOT AWARDED</v>
      </c>
      <c r="N118" s="7" t="s">
        <v>268</v>
      </c>
      <c r="O118" s="7">
        <v>1800</v>
      </c>
      <c r="P118" s="7">
        <v>98</v>
      </c>
      <c r="Q118" s="13">
        <f t="shared" si="3"/>
        <v>18.367346938775512</v>
      </c>
      <c r="R118" s="7"/>
      <c r="S118" s="7"/>
      <c r="T118" s="7"/>
      <c r="U118" s="7"/>
      <c r="V118" s="9" t="s">
        <v>440</v>
      </c>
    </row>
    <row r="119" spans="1:22" ht="23.25" x14ac:dyDescent="0.25">
      <c r="A119" s="7">
        <v>1229</v>
      </c>
      <c r="B119" s="7">
        <v>2025</v>
      </c>
      <c r="C119" s="7" t="s">
        <v>261</v>
      </c>
      <c r="D119" s="7" t="s">
        <v>45</v>
      </c>
      <c r="E119" s="7" t="s">
        <v>454</v>
      </c>
      <c r="F119" s="7" t="s">
        <v>269</v>
      </c>
      <c r="G119" s="18">
        <v>45737</v>
      </c>
      <c r="H119" s="18">
        <v>45736</v>
      </c>
      <c r="I119" s="18">
        <v>45900</v>
      </c>
      <c r="J119" s="7" t="str">
        <f>VLOOKUP(D119,Droplist!A:C,3,0)</f>
        <v>Dennis Frankowski</v>
      </c>
      <c r="K119" s="7"/>
      <c r="L119" s="7" t="s">
        <v>267</v>
      </c>
      <c r="M119" s="7" t="str">
        <f t="shared" si="2"/>
        <v>NOT AWARDED</v>
      </c>
      <c r="N119" s="7" t="s">
        <v>268</v>
      </c>
      <c r="O119" s="7">
        <v>47862</v>
      </c>
      <c r="P119" s="7">
        <v>597</v>
      </c>
      <c r="Q119" s="13">
        <f t="shared" si="3"/>
        <v>80.170854271356788</v>
      </c>
      <c r="R119" s="7"/>
      <c r="S119" s="7"/>
      <c r="T119" s="7"/>
      <c r="U119" s="7"/>
      <c r="V119" s="9" t="s">
        <v>449</v>
      </c>
    </row>
    <row r="120" spans="1:22" x14ac:dyDescent="0.25">
      <c r="A120" s="7">
        <v>1230</v>
      </c>
      <c r="B120" s="7">
        <v>2025</v>
      </c>
      <c r="C120" s="7" t="s">
        <v>261</v>
      </c>
      <c r="D120" s="7" t="s">
        <v>190</v>
      </c>
      <c r="E120" s="7" t="s">
        <v>455</v>
      </c>
      <c r="F120" s="7" t="s">
        <v>269</v>
      </c>
      <c r="G120" s="18">
        <v>45912</v>
      </c>
      <c r="H120" s="18">
        <v>45931</v>
      </c>
      <c r="I120" s="18">
        <v>46022</v>
      </c>
      <c r="J120" s="7" t="str">
        <f>VLOOKUP(D120,Droplist!A:C,3,0)</f>
        <v>Kevin Taylor</v>
      </c>
      <c r="K120" s="7" t="s">
        <v>455</v>
      </c>
      <c r="L120" s="7" t="s">
        <v>264</v>
      </c>
      <c r="M120" s="7" t="str">
        <f t="shared" si="2"/>
        <v>AWARDED</v>
      </c>
      <c r="N120" s="7"/>
      <c r="O120" s="7">
        <v>9880</v>
      </c>
      <c r="P120" s="7">
        <v>38</v>
      </c>
      <c r="Q120" s="13">
        <f t="shared" si="3"/>
        <v>260</v>
      </c>
      <c r="R120" s="7" t="s">
        <v>265</v>
      </c>
      <c r="S120" s="7" t="s">
        <v>265</v>
      </c>
      <c r="T120" s="7">
        <v>246.19600000000003</v>
      </c>
      <c r="U120" s="7">
        <v>75.245999999999981</v>
      </c>
      <c r="V120" s="9"/>
    </row>
    <row r="121" spans="1:22" x14ac:dyDescent="0.25">
      <c r="A121" s="7">
        <v>1231</v>
      </c>
      <c r="B121" s="7">
        <v>2025</v>
      </c>
      <c r="C121" s="7" t="s">
        <v>261</v>
      </c>
      <c r="D121" s="7" t="s">
        <v>72</v>
      </c>
      <c r="E121" s="7" t="s">
        <v>456</v>
      </c>
      <c r="F121" s="7" t="s">
        <v>269</v>
      </c>
      <c r="G121" s="18">
        <v>45741</v>
      </c>
      <c r="H121" s="18">
        <v>45737</v>
      </c>
      <c r="I121" s="18">
        <v>45900</v>
      </c>
      <c r="J121" s="7" t="str">
        <f>VLOOKUP(D121,Droplist!A:C,3,0)</f>
        <v>Jens Pottschul</v>
      </c>
      <c r="K121" s="7"/>
      <c r="L121" s="7" t="s">
        <v>267</v>
      </c>
      <c r="M121" s="7" t="str">
        <f t="shared" si="2"/>
        <v>NOT AWARDED</v>
      </c>
      <c r="N121" s="7" t="s">
        <v>268</v>
      </c>
      <c r="O121" s="7">
        <v>1000</v>
      </c>
      <c r="P121" s="7">
        <v>60</v>
      </c>
      <c r="Q121" s="13">
        <f t="shared" si="3"/>
        <v>16.666666666666668</v>
      </c>
      <c r="R121" s="7"/>
      <c r="S121" s="7"/>
      <c r="T121" s="7"/>
      <c r="U121" s="7"/>
      <c r="V121" s="9" t="s">
        <v>440</v>
      </c>
    </row>
    <row r="122" spans="1:22" x14ac:dyDescent="0.25">
      <c r="A122" s="7">
        <v>1232</v>
      </c>
      <c r="B122" s="7">
        <v>2025</v>
      </c>
      <c r="C122" s="7" t="s">
        <v>296</v>
      </c>
      <c r="D122" s="7" t="s">
        <v>226</v>
      </c>
      <c r="E122" s="7" t="s">
        <v>457</v>
      </c>
      <c r="F122" s="7" t="s">
        <v>269</v>
      </c>
      <c r="G122" s="18">
        <v>45730</v>
      </c>
      <c r="H122" s="18">
        <v>45730</v>
      </c>
      <c r="I122" s="18">
        <v>45838</v>
      </c>
      <c r="J122" s="7" t="str">
        <f>VLOOKUP(D122,Droplist!A:C,3,0)</f>
        <v>Martin Schulz</v>
      </c>
      <c r="K122" s="7" t="s">
        <v>457</v>
      </c>
      <c r="L122" s="7" t="s">
        <v>264</v>
      </c>
      <c r="M122" s="7" t="str">
        <f t="shared" si="2"/>
        <v>MAINTENANCE</v>
      </c>
      <c r="N122" s="7"/>
      <c r="O122" s="7">
        <v>830</v>
      </c>
      <c r="P122" s="7" t="s">
        <v>265</v>
      </c>
      <c r="Q122" s="13" t="e">
        <f t="shared" si="3"/>
        <v>#VALUE!</v>
      </c>
      <c r="R122" s="7" t="s">
        <v>265</v>
      </c>
      <c r="S122" s="7" t="s">
        <v>458</v>
      </c>
      <c r="T122" s="7">
        <v>421.84400000000005</v>
      </c>
      <c r="U122" s="7">
        <v>20.217999999999996</v>
      </c>
      <c r="V122" s="9"/>
    </row>
    <row r="123" spans="1:22" ht="23.25" x14ac:dyDescent="0.25">
      <c r="A123" s="7">
        <v>1233</v>
      </c>
      <c r="B123" s="7">
        <v>2025</v>
      </c>
      <c r="C123" s="7" t="s">
        <v>261</v>
      </c>
      <c r="D123" s="7" t="s">
        <v>77</v>
      </c>
      <c r="E123" s="7" t="s">
        <v>191</v>
      </c>
      <c r="F123" s="7" t="s">
        <v>269</v>
      </c>
      <c r="G123" s="18">
        <v>45854</v>
      </c>
      <c r="H123" s="18">
        <v>45854</v>
      </c>
      <c r="I123" s="18">
        <v>46022</v>
      </c>
      <c r="J123" s="7" t="str">
        <f>VLOOKUP(D123,Droplist!A:C,3,0)</f>
        <v>Martin Schulz</v>
      </c>
      <c r="K123" s="7" t="s">
        <v>191</v>
      </c>
      <c r="L123" s="7" t="s">
        <v>264</v>
      </c>
      <c r="M123" s="7" t="str">
        <f t="shared" si="2"/>
        <v>AWARDED</v>
      </c>
      <c r="N123" s="7"/>
      <c r="O123" s="7">
        <v>6360</v>
      </c>
      <c r="P123" s="7">
        <v>213</v>
      </c>
      <c r="Q123" s="13">
        <f t="shared" si="3"/>
        <v>29.859154929577464</v>
      </c>
      <c r="R123" s="7">
        <v>4500</v>
      </c>
      <c r="S123" s="7">
        <v>375</v>
      </c>
      <c r="T123" s="7">
        <v>62.814999999999998</v>
      </c>
      <c r="U123" s="7">
        <v>25.896999999999998</v>
      </c>
      <c r="V123" s="9" t="s">
        <v>459</v>
      </c>
    </row>
    <row r="124" spans="1:22" x14ac:dyDescent="0.25">
      <c r="A124" s="7">
        <v>1234</v>
      </c>
      <c r="B124" s="7">
        <v>2025</v>
      </c>
      <c r="C124" s="7" t="s">
        <v>261</v>
      </c>
      <c r="D124" s="7" t="s">
        <v>77</v>
      </c>
      <c r="E124" s="7" t="s">
        <v>460</v>
      </c>
      <c r="F124" s="7" t="s">
        <v>269</v>
      </c>
      <c r="G124" s="18">
        <v>45833</v>
      </c>
      <c r="H124" s="18">
        <v>45839</v>
      </c>
      <c r="I124" s="18">
        <v>45930</v>
      </c>
      <c r="J124" s="7" t="str">
        <f>VLOOKUP(D124,Droplist!A:C,3,0)</f>
        <v>Martin Schulz</v>
      </c>
      <c r="K124" s="7" t="s">
        <v>460</v>
      </c>
      <c r="L124" s="7" t="s">
        <v>277</v>
      </c>
      <c r="M124" s="7" t="str">
        <f t="shared" si="2"/>
        <v>AWARDED/EXPIRED</v>
      </c>
      <c r="N124" s="7"/>
      <c r="O124" s="7">
        <v>9000</v>
      </c>
      <c r="P124" s="7">
        <v>44</v>
      </c>
      <c r="Q124" s="13">
        <f t="shared" si="3"/>
        <v>204.54545454545453</v>
      </c>
      <c r="R124" s="7">
        <v>9000</v>
      </c>
      <c r="S124" s="7">
        <v>750</v>
      </c>
      <c r="T124" s="7">
        <v>20.306999999999999</v>
      </c>
      <c r="U124" s="7"/>
      <c r="V124" s="9" t="s">
        <v>461</v>
      </c>
    </row>
    <row r="125" spans="1:22" x14ac:dyDescent="0.25">
      <c r="A125" s="7">
        <v>1235</v>
      </c>
      <c r="B125" s="7">
        <v>2025</v>
      </c>
      <c r="C125" s="7" t="s">
        <v>261</v>
      </c>
      <c r="D125" s="7" t="s">
        <v>94</v>
      </c>
      <c r="E125" s="7" t="s">
        <v>462</v>
      </c>
      <c r="F125" s="7" t="s">
        <v>269</v>
      </c>
      <c r="G125" s="18">
        <v>45792</v>
      </c>
      <c r="H125" s="18">
        <v>45809</v>
      </c>
      <c r="I125" s="18">
        <v>46022</v>
      </c>
      <c r="J125" s="7" t="str">
        <f>VLOOKUP(D125,Droplist!A:C,3,0)</f>
        <v>Jens Pottschul</v>
      </c>
      <c r="K125" s="7"/>
      <c r="L125" s="7" t="s">
        <v>267</v>
      </c>
      <c r="M125" s="7" t="str">
        <f t="shared" si="2"/>
        <v>NOT AWARDED</v>
      </c>
      <c r="N125" s="7" t="s">
        <v>463</v>
      </c>
      <c r="O125" s="7">
        <v>2235.96</v>
      </c>
      <c r="P125" s="7">
        <v>79</v>
      </c>
      <c r="Q125" s="13">
        <f t="shared" si="3"/>
        <v>28.303291139240507</v>
      </c>
      <c r="R125" s="7"/>
      <c r="S125" s="7"/>
      <c r="T125" s="7"/>
      <c r="U125" s="7"/>
      <c r="V125" s="9" t="s">
        <v>464</v>
      </c>
    </row>
    <row r="126" spans="1:22" x14ac:dyDescent="0.25">
      <c r="A126" s="7">
        <v>1236</v>
      </c>
      <c r="B126" s="7">
        <v>2025</v>
      </c>
      <c r="C126" s="7" t="s">
        <v>261</v>
      </c>
      <c r="D126" s="7" t="s">
        <v>94</v>
      </c>
      <c r="E126" s="7" t="s">
        <v>465</v>
      </c>
      <c r="F126" s="7" t="s">
        <v>269</v>
      </c>
      <c r="G126" s="18">
        <v>45744</v>
      </c>
      <c r="H126" s="18">
        <v>45778</v>
      </c>
      <c r="I126" s="18">
        <v>46022</v>
      </c>
      <c r="J126" s="7" t="str">
        <f>VLOOKUP(D126,Droplist!A:C,3,0)</f>
        <v>Jens Pottschul</v>
      </c>
      <c r="K126" s="7"/>
      <c r="L126" s="7" t="s">
        <v>267</v>
      </c>
      <c r="M126" s="7" t="str">
        <f t="shared" si="2"/>
        <v>NOT AWARDED</v>
      </c>
      <c r="N126" s="7" t="s">
        <v>466</v>
      </c>
      <c r="O126" s="7">
        <v>2657</v>
      </c>
      <c r="P126" s="7">
        <v>59</v>
      </c>
      <c r="Q126" s="13">
        <f t="shared" si="3"/>
        <v>45.033898305084747</v>
      </c>
      <c r="R126" s="7"/>
      <c r="S126" s="7"/>
      <c r="T126" s="7"/>
      <c r="U126" s="7"/>
      <c r="V126" s="9" t="s">
        <v>467</v>
      </c>
    </row>
    <row r="127" spans="1:22" x14ac:dyDescent="0.25">
      <c r="A127" s="7">
        <v>1237</v>
      </c>
      <c r="B127" s="7">
        <v>2025</v>
      </c>
      <c r="C127" s="7" t="s">
        <v>261</v>
      </c>
      <c r="D127" s="7" t="s">
        <v>99</v>
      </c>
      <c r="E127" s="7" t="s">
        <v>196</v>
      </c>
      <c r="F127" s="7" t="s">
        <v>269</v>
      </c>
      <c r="G127" s="18">
        <v>45793</v>
      </c>
      <c r="H127" s="18">
        <v>45809</v>
      </c>
      <c r="I127" s="18">
        <v>45991</v>
      </c>
      <c r="J127" s="7" t="str">
        <f>VLOOKUP(D127,Droplist!A:C,3,0)</f>
        <v>Kevin Taylor</v>
      </c>
      <c r="K127" s="7"/>
      <c r="L127" s="7" t="s">
        <v>267</v>
      </c>
      <c r="M127" s="7" t="str">
        <f t="shared" si="2"/>
        <v>NOT AWARDED</v>
      </c>
      <c r="N127" s="7" t="s">
        <v>468</v>
      </c>
      <c r="O127" s="7">
        <v>15000</v>
      </c>
      <c r="P127" s="7">
        <v>596</v>
      </c>
      <c r="Q127" s="13">
        <f t="shared" si="3"/>
        <v>25.167785234899331</v>
      </c>
      <c r="R127" s="7"/>
      <c r="S127" s="7"/>
      <c r="T127" s="7"/>
      <c r="U127" s="7"/>
      <c r="V127" s="9" t="s">
        <v>469</v>
      </c>
    </row>
    <row r="128" spans="1:22" x14ac:dyDescent="0.25">
      <c r="A128" s="7">
        <v>1238</v>
      </c>
      <c r="B128" s="7">
        <v>2025</v>
      </c>
      <c r="C128" s="7" t="s">
        <v>261</v>
      </c>
      <c r="D128" s="7" t="s">
        <v>433</v>
      </c>
      <c r="E128" s="7" t="s">
        <v>470</v>
      </c>
      <c r="F128" s="7" t="s">
        <v>269</v>
      </c>
      <c r="G128" s="18">
        <v>45751</v>
      </c>
      <c r="H128" s="18">
        <v>45751</v>
      </c>
      <c r="I128" s="18">
        <v>45838</v>
      </c>
      <c r="J128" s="7" t="str">
        <f>VLOOKUP(D128,Droplist!A:C,3,0)</f>
        <v>Bruce Ericson</v>
      </c>
      <c r="K128" s="7"/>
      <c r="L128" s="7" t="s">
        <v>267</v>
      </c>
      <c r="M128" s="7" t="str">
        <f t="shared" si="2"/>
        <v>NOT AWARDED</v>
      </c>
      <c r="N128" s="7" t="s">
        <v>285</v>
      </c>
      <c r="O128" s="7">
        <v>10097</v>
      </c>
      <c r="P128" s="7">
        <v>32</v>
      </c>
      <c r="Q128" s="13">
        <f t="shared" si="3"/>
        <v>315.53125</v>
      </c>
      <c r="R128" s="7"/>
      <c r="S128" s="7"/>
      <c r="T128" s="7"/>
      <c r="U128" s="7"/>
      <c r="V128" s="9" t="s">
        <v>471</v>
      </c>
    </row>
    <row r="129" spans="1:22" x14ac:dyDescent="0.25">
      <c r="A129" s="7">
        <v>1239</v>
      </c>
      <c r="B129" s="7">
        <v>2025</v>
      </c>
      <c r="C129" s="7" t="s">
        <v>261</v>
      </c>
      <c r="D129" s="7" t="s">
        <v>25</v>
      </c>
      <c r="E129" s="7" t="s">
        <v>472</v>
      </c>
      <c r="F129" s="7" t="s">
        <v>269</v>
      </c>
      <c r="G129" s="18">
        <v>45510</v>
      </c>
      <c r="H129" s="18">
        <v>45778</v>
      </c>
      <c r="I129" s="18">
        <v>46022</v>
      </c>
      <c r="J129" s="7" t="str">
        <f>VLOOKUP(D129,Droplist!A:C,3,0)</f>
        <v>Peter Andersen</v>
      </c>
      <c r="K129" s="7"/>
      <c r="L129" s="7" t="s">
        <v>267</v>
      </c>
      <c r="M129" s="7" t="str">
        <f t="shared" si="2"/>
        <v>NOT AWARDED</v>
      </c>
      <c r="N129" s="7" t="s">
        <v>354</v>
      </c>
      <c r="O129" s="7">
        <v>12134</v>
      </c>
      <c r="P129" s="7">
        <v>325</v>
      </c>
      <c r="Q129" s="13">
        <f t="shared" si="3"/>
        <v>37.335384615384612</v>
      </c>
      <c r="R129" s="7"/>
      <c r="S129" s="7"/>
      <c r="T129" s="7"/>
      <c r="U129" s="7"/>
      <c r="V129" s="9" t="s">
        <v>473</v>
      </c>
    </row>
    <row r="130" spans="1:22" x14ac:dyDescent="0.25">
      <c r="A130" s="7">
        <v>1240</v>
      </c>
      <c r="B130" s="7">
        <v>2025</v>
      </c>
      <c r="C130" s="7" t="s">
        <v>261</v>
      </c>
      <c r="D130" s="7" t="s">
        <v>474</v>
      </c>
      <c r="E130" s="7" t="s">
        <v>472</v>
      </c>
      <c r="F130" s="7" t="s">
        <v>269</v>
      </c>
      <c r="G130" s="18">
        <v>45510</v>
      </c>
      <c r="H130" s="18">
        <v>45778</v>
      </c>
      <c r="I130" s="18">
        <v>46022</v>
      </c>
      <c r="J130" s="7" t="str">
        <f>VLOOKUP(D130,Droplist!A:C,3,0)</f>
        <v>Peter Andersen / Susanne Elsborg-Jensen</v>
      </c>
      <c r="K130" s="7"/>
      <c r="L130" s="7" t="s">
        <v>267</v>
      </c>
      <c r="M130" s="7" t="str">
        <f t="shared" ref="M130:M193" si="4">IF(L130&lt;&gt;"AWARDED",L130,IF(NOT(ISNUMBER(T130)),L130,IF(T130&gt;=700,"PRIME",IF(T130&gt;=250,"MAINTENANCE",L130))))</f>
        <v>NOT AWARDED</v>
      </c>
      <c r="N130" s="7" t="s">
        <v>354</v>
      </c>
      <c r="O130" s="7">
        <v>12134</v>
      </c>
      <c r="P130" s="7">
        <v>313</v>
      </c>
      <c r="Q130" s="13">
        <f t="shared" si="3"/>
        <v>38.766773162939295</v>
      </c>
      <c r="R130" s="7"/>
      <c r="S130" s="7"/>
      <c r="T130" s="7"/>
      <c r="U130" s="7"/>
      <c r="V130" s="9" t="s">
        <v>475</v>
      </c>
    </row>
    <row r="131" spans="1:22" x14ac:dyDescent="0.25">
      <c r="A131" s="7">
        <v>1241</v>
      </c>
      <c r="B131" s="7">
        <v>2025</v>
      </c>
      <c r="C131" s="7" t="s">
        <v>261</v>
      </c>
      <c r="D131" s="7" t="s">
        <v>94</v>
      </c>
      <c r="E131" s="7" t="s">
        <v>196</v>
      </c>
      <c r="F131" s="7" t="s">
        <v>269</v>
      </c>
      <c r="G131" s="18">
        <v>45750</v>
      </c>
      <c r="H131" s="18">
        <v>45809</v>
      </c>
      <c r="I131" s="18">
        <v>45991</v>
      </c>
      <c r="J131" s="7" t="str">
        <f>VLOOKUP(D131,Droplist!A:C,3,0)</f>
        <v>Jens Pottschul</v>
      </c>
      <c r="K131" s="7"/>
      <c r="L131" s="7" t="s">
        <v>267</v>
      </c>
      <c r="M131" s="7" t="str">
        <f t="shared" si="4"/>
        <v>NOT AWARDED</v>
      </c>
      <c r="N131" s="7" t="s">
        <v>463</v>
      </c>
      <c r="O131" s="7">
        <v>14309</v>
      </c>
      <c r="P131" s="7">
        <v>596</v>
      </c>
      <c r="Q131" s="13">
        <f t="shared" ref="Q131:Q194" si="5">O131/P131</f>
        <v>24.008389261744966</v>
      </c>
      <c r="R131" s="7"/>
      <c r="S131" s="7"/>
      <c r="T131" s="7"/>
      <c r="U131" s="7"/>
      <c r="V131" s="9" t="s">
        <v>464</v>
      </c>
    </row>
    <row r="132" spans="1:22" ht="23.25" x14ac:dyDescent="0.25">
      <c r="A132" s="7">
        <v>1242</v>
      </c>
      <c r="B132" s="7">
        <v>2025</v>
      </c>
      <c r="C132" s="7" t="s">
        <v>261</v>
      </c>
      <c r="D132" s="7" t="s">
        <v>97</v>
      </c>
      <c r="E132" s="7" t="s">
        <v>476</v>
      </c>
      <c r="F132" s="7" t="s">
        <v>263</v>
      </c>
      <c r="G132" s="18">
        <v>45754</v>
      </c>
      <c r="H132" s="18">
        <v>45792</v>
      </c>
      <c r="I132" s="18">
        <v>46188</v>
      </c>
      <c r="J132" s="7" t="str">
        <f>VLOOKUP(D132,Droplist!A:C,3,0)</f>
        <v>Jakob Bluhme / Tom Hine</v>
      </c>
      <c r="K132" s="7"/>
      <c r="L132" s="7" t="s">
        <v>267</v>
      </c>
      <c r="M132" s="7" t="str">
        <f t="shared" si="4"/>
        <v>NOT AWARDED</v>
      </c>
      <c r="N132" s="7" t="s">
        <v>477</v>
      </c>
      <c r="O132" s="7">
        <v>1225</v>
      </c>
      <c r="P132" s="7">
        <v>141</v>
      </c>
      <c r="Q132" s="13">
        <f t="shared" si="5"/>
        <v>8.6879432624113484</v>
      </c>
      <c r="R132" s="7"/>
      <c r="S132" s="7"/>
      <c r="T132" s="7">
        <v>393.4670000000001</v>
      </c>
      <c r="U132" s="7"/>
      <c r="V132" s="9" t="s">
        <v>478</v>
      </c>
    </row>
    <row r="133" spans="1:22" ht="23.25" x14ac:dyDescent="0.25">
      <c r="A133" s="7">
        <v>1243</v>
      </c>
      <c r="B133" s="7">
        <v>2025</v>
      </c>
      <c r="C133" s="7" t="s">
        <v>261</v>
      </c>
      <c r="D133" s="7" t="s">
        <v>99</v>
      </c>
      <c r="E133" s="7" t="s">
        <v>479</v>
      </c>
      <c r="F133" s="7" t="s">
        <v>269</v>
      </c>
      <c r="G133" s="18">
        <v>45772</v>
      </c>
      <c r="H133" s="18">
        <v>45839</v>
      </c>
      <c r="I133" s="18">
        <v>46022</v>
      </c>
      <c r="J133" s="7" t="str">
        <f>VLOOKUP(D133,Droplist!A:C,3,0)</f>
        <v>Kevin Taylor</v>
      </c>
      <c r="K133" s="7" t="s">
        <v>479</v>
      </c>
      <c r="L133" s="7" t="s">
        <v>264</v>
      </c>
      <c r="M133" s="7" t="str">
        <f t="shared" si="4"/>
        <v>AWARDED</v>
      </c>
      <c r="N133" s="7"/>
      <c r="O133" s="7">
        <v>3678</v>
      </c>
      <c r="P133" s="7">
        <v>56</v>
      </c>
      <c r="Q133" s="13">
        <f t="shared" si="5"/>
        <v>65.678571428571431</v>
      </c>
      <c r="R133" s="7">
        <v>1862</v>
      </c>
      <c r="S133" s="7">
        <v>155.16666666666666</v>
      </c>
      <c r="T133" s="7">
        <v>96.127999999999986</v>
      </c>
      <c r="U133" s="7"/>
      <c r="V133" s="9" t="s">
        <v>480</v>
      </c>
    </row>
    <row r="134" spans="1:22" x14ac:dyDescent="0.25">
      <c r="A134" s="7">
        <v>1244</v>
      </c>
      <c r="B134" s="7">
        <v>2025</v>
      </c>
      <c r="C134" s="7" t="s">
        <v>261</v>
      </c>
      <c r="D134" s="7" t="s">
        <v>481</v>
      </c>
      <c r="E134" s="7" t="s">
        <v>228</v>
      </c>
      <c r="F134" s="7" t="s">
        <v>263</v>
      </c>
      <c r="G134" s="18">
        <v>45932</v>
      </c>
      <c r="H134" s="18">
        <v>45932</v>
      </c>
      <c r="I134" s="18">
        <v>46022</v>
      </c>
      <c r="J134" s="7" t="str">
        <f>VLOOKUP(D134,Droplist!A:C,3,0)</f>
        <v>Jens Pottschul</v>
      </c>
      <c r="K134" s="7" t="s">
        <v>228</v>
      </c>
      <c r="L134" s="7" t="s">
        <v>264</v>
      </c>
      <c r="M134" s="7" t="str">
        <f t="shared" si="4"/>
        <v>MAINTENANCE</v>
      </c>
      <c r="N134" s="7"/>
      <c r="O134" s="7">
        <v>7286.6</v>
      </c>
      <c r="P134" s="7">
        <v>162</v>
      </c>
      <c r="Q134" s="13">
        <f t="shared" si="5"/>
        <v>44.979012345679017</v>
      </c>
      <c r="R134" s="7">
        <v>360</v>
      </c>
      <c r="S134" s="7">
        <v>30</v>
      </c>
      <c r="T134" s="7">
        <v>373.91700000000009</v>
      </c>
      <c r="U134" s="7"/>
      <c r="V134" s="9" t="s">
        <v>482</v>
      </c>
    </row>
    <row r="135" spans="1:22" x14ac:dyDescent="0.25">
      <c r="A135" s="7">
        <v>1245</v>
      </c>
      <c r="B135" s="7">
        <v>2025</v>
      </c>
      <c r="C135" s="7" t="s">
        <v>261</v>
      </c>
      <c r="D135" s="7" t="s">
        <v>48</v>
      </c>
      <c r="E135" s="7" t="s">
        <v>228</v>
      </c>
      <c r="F135" s="7" t="s">
        <v>263</v>
      </c>
      <c r="G135" s="18">
        <v>45932</v>
      </c>
      <c r="H135" s="18">
        <v>45932</v>
      </c>
      <c r="I135" s="18">
        <v>46022</v>
      </c>
      <c r="J135" s="7" t="str">
        <f>VLOOKUP(D135,Droplist!A:C,3,0)</f>
        <v>Jakob Bluhme</v>
      </c>
      <c r="K135" s="7" t="s">
        <v>483</v>
      </c>
      <c r="L135" s="7" t="s">
        <v>264</v>
      </c>
      <c r="M135" s="7" t="str">
        <f t="shared" si="4"/>
        <v>AWARDED</v>
      </c>
      <c r="N135" s="7"/>
      <c r="O135" s="7">
        <v>7286.6</v>
      </c>
      <c r="P135" s="7">
        <v>162</v>
      </c>
      <c r="Q135" s="13">
        <f t="shared" si="5"/>
        <v>44.979012345679017</v>
      </c>
      <c r="R135" s="7">
        <v>360</v>
      </c>
      <c r="S135" s="7">
        <v>30</v>
      </c>
      <c r="T135" s="7">
        <v>29.647999999999996</v>
      </c>
      <c r="U135" s="7">
        <v>118.88499999999999</v>
      </c>
      <c r="V135" s="9" t="s">
        <v>482</v>
      </c>
    </row>
    <row r="136" spans="1:22" x14ac:dyDescent="0.25">
      <c r="A136" s="7">
        <v>1246</v>
      </c>
      <c r="B136" s="7">
        <v>2025</v>
      </c>
      <c r="C136" s="7" t="s">
        <v>261</v>
      </c>
      <c r="D136" s="7" t="s">
        <v>48</v>
      </c>
      <c r="E136" s="7" t="s">
        <v>465</v>
      </c>
      <c r="F136" s="7" t="s">
        <v>269</v>
      </c>
      <c r="G136" s="18">
        <v>45981</v>
      </c>
      <c r="H136" s="18">
        <v>45992</v>
      </c>
      <c r="I136" s="18">
        <v>46081</v>
      </c>
      <c r="J136" s="7" t="str">
        <f>VLOOKUP(D136,Droplist!A:C,3,0)</f>
        <v>Jakob Bluhme</v>
      </c>
      <c r="K136" s="7" t="s">
        <v>465</v>
      </c>
      <c r="L136" s="7" t="s">
        <v>264</v>
      </c>
      <c r="M136" s="7" t="str">
        <f t="shared" si="4"/>
        <v>AWARDED</v>
      </c>
      <c r="N136" s="7"/>
      <c r="O136" s="7">
        <v>2657</v>
      </c>
      <c r="P136" s="7">
        <v>48</v>
      </c>
      <c r="Q136" s="13">
        <f t="shared" si="5"/>
        <v>55.354166666666664</v>
      </c>
      <c r="R136" s="7">
        <v>250</v>
      </c>
      <c r="S136" s="7">
        <v>22</v>
      </c>
      <c r="T136" s="7">
        <v>52.903999999999996</v>
      </c>
      <c r="U136" s="7"/>
      <c r="V136" s="9" t="s">
        <v>484</v>
      </c>
    </row>
    <row r="137" spans="1:22" x14ac:dyDescent="0.25">
      <c r="A137" s="7">
        <v>1248</v>
      </c>
      <c r="B137" s="7">
        <v>2025</v>
      </c>
      <c r="C137" s="7" t="s">
        <v>261</v>
      </c>
      <c r="D137" s="7" t="s">
        <v>485</v>
      </c>
      <c r="E137" s="7" t="s">
        <v>486</v>
      </c>
      <c r="F137" s="7" t="s">
        <v>263</v>
      </c>
      <c r="G137" s="18">
        <v>45820</v>
      </c>
      <c r="H137" s="18">
        <v>45839</v>
      </c>
      <c r="I137" s="18">
        <v>46022</v>
      </c>
      <c r="J137" s="7" t="str">
        <f>VLOOKUP(D137,Droplist!A:C,3,0)</f>
        <v>Jakob Bluhme / Christine Solorzano / Diane Kaiser</v>
      </c>
      <c r="K137" s="7" t="s">
        <v>486</v>
      </c>
      <c r="L137" s="7" t="s">
        <v>264</v>
      </c>
      <c r="M137" s="7" t="str">
        <f t="shared" si="4"/>
        <v>PRIME</v>
      </c>
      <c r="N137" s="7"/>
      <c r="O137" s="7">
        <v>7845</v>
      </c>
      <c r="P137" s="7">
        <v>552</v>
      </c>
      <c r="Q137" s="13">
        <f t="shared" si="5"/>
        <v>14.211956521739131</v>
      </c>
      <c r="R137" s="7">
        <v>1300</v>
      </c>
      <c r="S137" s="7">
        <v>108.33333333333333</v>
      </c>
      <c r="T137" s="7">
        <v>1117.7510000000007</v>
      </c>
      <c r="U137" s="7">
        <v>114.55500000000002</v>
      </c>
      <c r="V137" s="9"/>
    </row>
    <row r="138" spans="1:22" x14ac:dyDescent="0.25">
      <c r="A138" s="7">
        <v>1249</v>
      </c>
      <c r="B138" s="7">
        <v>2025</v>
      </c>
      <c r="C138" s="7" t="s">
        <v>296</v>
      </c>
      <c r="D138" s="7" t="s">
        <v>48</v>
      </c>
      <c r="E138" s="7" t="s">
        <v>487</v>
      </c>
      <c r="F138" s="7" t="s">
        <v>269</v>
      </c>
      <c r="G138" s="18">
        <v>45769</v>
      </c>
      <c r="H138" s="18">
        <v>45778</v>
      </c>
      <c r="I138" s="18">
        <v>45961</v>
      </c>
      <c r="J138" s="7" t="str">
        <f>VLOOKUP(D138,Droplist!A:C,3,0)</f>
        <v>Jakob Bluhme</v>
      </c>
      <c r="K138" s="7" t="s">
        <v>487</v>
      </c>
      <c r="L138" s="7" t="s">
        <v>264</v>
      </c>
      <c r="M138" s="7" t="str">
        <f t="shared" si="4"/>
        <v>AWARDED</v>
      </c>
      <c r="N138" s="7"/>
      <c r="O138" s="7">
        <v>1920</v>
      </c>
      <c r="P138" s="7">
        <v>34</v>
      </c>
      <c r="Q138" s="13">
        <f t="shared" si="5"/>
        <v>56.470588235294116</v>
      </c>
      <c r="R138" s="7" t="s">
        <v>265</v>
      </c>
      <c r="S138" s="7" t="s">
        <v>265</v>
      </c>
      <c r="T138" s="7">
        <v>3.9470000000000001</v>
      </c>
      <c r="U138" s="7"/>
      <c r="V138" s="9" t="s">
        <v>488</v>
      </c>
    </row>
    <row r="139" spans="1:22" x14ac:dyDescent="0.25">
      <c r="A139" s="7">
        <v>1250</v>
      </c>
      <c r="B139" s="7">
        <v>2025</v>
      </c>
      <c r="C139" s="7" t="s">
        <v>261</v>
      </c>
      <c r="D139" s="7" t="s">
        <v>77</v>
      </c>
      <c r="E139" s="7" t="s">
        <v>404</v>
      </c>
      <c r="F139" s="7" t="s">
        <v>269</v>
      </c>
      <c r="G139" s="18">
        <v>45854</v>
      </c>
      <c r="H139" s="18">
        <v>45854</v>
      </c>
      <c r="I139" s="18">
        <v>46022</v>
      </c>
      <c r="J139" s="7" t="str">
        <f>VLOOKUP(D139,Droplist!A:C,3,0)</f>
        <v>Martin Schulz</v>
      </c>
      <c r="K139" s="7" t="s">
        <v>404</v>
      </c>
      <c r="L139" s="7" t="s">
        <v>264</v>
      </c>
      <c r="M139" s="7" t="str">
        <f t="shared" si="4"/>
        <v>AWARDED</v>
      </c>
      <c r="N139" s="7"/>
      <c r="O139" s="7">
        <v>5000</v>
      </c>
      <c r="P139" s="7">
        <v>264</v>
      </c>
      <c r="Q139" s="13">
        <f t="shared" si="5"/>
        <v>18.939393939393938</v>
      </c>
      <c r="R139" s="7">
        <v>5000</v>
      </c>
      <c r="S139" s="7">
        <v>416</v>
      </c>
      <c r="T139" s="7">
        <v>56.797000000000004</v>
      </c>
      <c r="U139" s="7">
        <v>8.3719999999999999</v>
      </c>
      <c r="V139" s="9" t="s">
        <v>489</v>
      </c>
    </row>
    <row r="140" spans="1:22" x14ac:dyDescent="0.25">
      <c r="A140" s="7">
        <v>1251</v>
      </c>
      <c r="B140" s="7">
        <v>2025</v>
      </c>
      <c r="C140" s="7" t="s">
        <v>261</v>
      </c>
      <c r="D140" s="7" t="s">
        <v>80</v>
      </c>
      <c r="E140" s="7" t="s">
        <v>490</v>
      </c>
      <c r="F140" s="7" t="s">
        <v>269</v>
      </c>
      <c r="G140" s="18">
        <v>45784</v>
      </c>
      <c r="H140" s="18">
        <v>45784</v>
      </c>
      <c r="I140" s="18">
        <v>45961</v>
      </c>
      <c r="J140" s="7" t="str">
        <f>VLOOKUP(D140,Droplist!A:C,3,0)</f>
        <v>Jens Pottschul</v>
      </c>
      <c r="K140" s="7"/>
      <c r="L140" s="7" t="s">
        <v>267</v>
      </c>
      <c r="M140" s="7" t="str">
        <f t="shared" si="4"/>
        <v>NOT AWARDED</v>
      </c>
      <c r="N140" s="7" t="s">
        <v>354</v>
      </c>
      <c r="O140" s="7">
        <v>1600</v>
      </c>
      <c r="P140" s="7">
        <v>118</v>
      </c>
      <c r="Q140" s="13">
        <f t="shared" si="5"/>
        <v>13.559322033898304</v>
      </c>
      <c r="R140" s="7"/>
      <c r="S140" s="7"/>
      <c r="T140" s="7"/>
      <c r="U140" s="7"/>
      <c r="V140" s="9" t="s">
        <v>491</v>
      </c>
    </row>
    <row r="141" spans="1:22" x14ac:dyDescent="0.25">
      <c r="A141" s="7">
        <v>1252</v>
      </c>
      <c r="B141" s="7">
        <v>2025</v>
      </c>
      <c r="C141" s="7" t="s">
        <v>261</v>
      </c>
      <c r="D141" s="7" t="s">
        <v>492</v>
      </c>
      <c r="E141" s="7" t="s">
        <v>271</v>
      </c>
      <c r="F141" s="7" t="s">
        <v>269</v>
      </c>
      <c r="G141" s="18">
        <v>45782</v>
      </c>
      <c r="H141" s="18">
        <v>45839</v>
      </c>
      <c r="I141" s="18">
        <v>46022</v>
      </c>
      <c r="J141" s="7" t="str">
        <f>VLOOKUP(D141,Droplist!A:C,3,0)</f>
        <v>Sylvia Lathouwers</v>
      </c>
      <c r="K141" s="7"/>
      <c r="L141" s="7" t="s">
        <v>267</v>
      </c>
      <c r="M141" s="7" t="str">
        <f t="shared" si="4"/>
        <v>NOT AWARDED</v>
      </c>
      <c r="N141" s="7" t="s">
        <v>354</v>
      </c>
      <c r="O141" s="7">
        <v>9500</v>
      </c>
      <c r="P141" s="7">
        <v>913</v>
      </c>
      <c r="Q141" s="13">
        <f t="shared" si="5"/>
        <v>10.405257393209201</v>
      </c>
      <c r="R141" s="7"/>
      <c r="S141" s="7"/>
      <c r="T141" s="7">
        <v>213.35</v>
      </c>
      <c r="U141" s="7">
        <v>17.774000000000001</v>
      </c>
      <c r="V141" s="9"/>
    </row>
    <row r="142" spans="1:22" ht="79.5" x14ac:dyDescent="0.25">
      <c r="A142" s="7">
        <v>1253</v>
      </c>
      <c r="B142" s="7">
        <v>2025</v>
      </c>
      <c r="C142" s="7" t="s">
        <v>261</v>
      </c>
      <c r="D142" s="7" t="s">
        <v>407</v>
      </c>
      <c r="E142" s="7" t="s">
        <v>493</v>
      </c>
      <c r="F142" s="7" t="s">
        <v>269</v>
      </c>
      <c r="G142" s="18">
        <v>45784</v>
      </c>
      <c r="H142" s="18">
        <v>45809</v>
      </c>
      <c r="I142" s="18">
        <v>45961</v>
      </c>
      <c r="J142" s="7" t="str">
        <f>VLOOKUP(D142,Droplist!A:C,3,0)</f>
        <v xml:space="preserve">Roberta MacLeod-Stuart </v>
      </c>
      <c r="K142" s="7"/>
      <c r="L142" s="7" t="s">
        <v>277</v>
      </c>
      <c r="M142" s="7" t="str">
        <f t="shared" si="4"/>
        <v>AWARDED/EXPIRED</v>
      </c>
      <c r="N142" s="7"/>
      <c r="O142" s="7">
        <v>3381</v>
      </c>
      <c r="P142" s="7">
        <v>56</v>
      </c>
      <c r="Q142" s="13">
        <f t="shared" si="5"/>
        <v>60.375</v>
      </c>
      <c r="R142" s="7" t="s">
        <v>494</v>
      </c>
      <c r="S142" s="7" t="s">
        <v>458</v>
      </c>
      <c r="T142" s="7"/>
      <c r="U142" s="7"/>
      <c r="V142" s="9" t="s">
        <v>495</v>
      </c>
    </row>
    <row r="143" spans="1:22" x14ac:dyDescent="0.25">
      <c r="A143" s="7">
        <v>1254</v>
      </c>
      <c r="B143" s="7">
        <v>2025</v>
      </c>
      <c r="C143" s="7" t="s">
        <v>261</v>
      </c>
      <c r="D143" s="7" t="s">
        <v>185</v>
      </c>
      <c r="E143" s="7" t="s">
        <v>496</v>
      </c>
      <c r="F143" s="7" t="s">
        <v>269</v>
      </c>
      <c r="G143" s="18">
        <v>45821</v>
      </c>
      <c r="H143" s="18">
        <v>45821</v>
      </c>
      <c r="I143" s="18">
        <v>46022</v>
      </c>
      <c r="J143" s="7" t="str">
        <f>VLOOKUP(D143,Droplist!A:C,3,0)</f>
        <v>Jens Pottschul</v>
      </c>
      <c r="K143" s="7"/>
      <c r="L143" s="7" t="s">
        <v>267</v>
      </c>
      <c r="M143" s="7" t="str">
        <f t="shared" si="4"/>
        <v>NOT AWARDED</v>
      </c>
      <c r="N143" s="7" t="s">
        <v>497</v>
      </c>
      <c r="O143" s="7">
        <v>3000</v>
      </c>
      <c r="P143" s="7">
        <v>302</v>
      </c>
      <c r="Q143" s="13">
        <f t="shared" si="5"/>
        <v>9.9337748344370862</v>
      </c>
      <c r="R143" s="7"/>
      <c r="S143" s="7"/>
      <c r="T143" s="7"/>
      <c r="U143" s="7"/>
      <c r="V143" s="9" t="s">
        <v>498</v>
      </c>
    </row>
    <row r="144" spans="1:22" x14ac:dyDescent="0.25">
      <c r="A144" s="7">
        <v>1255</v>
      </c>
      <c r="B144" s="7">
        <v>2025</v>
      </c>
      <c r="C144" s="7" t="s">
        <v>261</v>
      </c>
      <c r="D144" s="7" t="s">
        <v>45</v>
      </c>
      <c r="E144" s="7" t="s">
        <v>499</v>
      </c>
      <c r="F144" s="7" t="s">
        <v>269</v>
      </c>
      <c r="G144" s="18">
        <v>45782</v>
      </c>
      <c r="H144" s="18">
        <v>45783</v>
      </c>
      <c r="I144" s="18">
        <v>45961</v>
      </c>
      <c r="J144" s="7" t="str">
        <f>VLOOKUP(D144,Droplist!A:C,3,0)</f>
        <v>Dennis Frankowski</v>
      </c>
      <c r="K144" s="7"/>
      <c r="L144" s="7" t="s">
        <v>267</v>
      </c>
      <c r="M144" s="7" t="str">
        <f t="shared" si="4"/>
        <v>NOT AWARDED</v>
      </c>
      <c r="N144" s="7" t="s">
        <v>354</v>
      </c>
      <c r="O144" s="7">
        <v>728</v>
      </c>
      <c r="P144" s="7">
        <v>29</v>
      </c>
      <c r="Q144" s="13">
        <f t="shared" si="5"/>
        <v>25.103448275862068</v>
      </c>
      <c r="R144" s="7"/>
      <c r="S144" s="7"/>
      <c r="T144" s="7"/>
      <c r="U144" s="7"/>
      <c r="V144" s="9" t="s">
        <v>500</v>
      </c>
    </row>
    <row r="145" spans="1:22" x14ac:dyDescent="0.25">
      <c r="A145" s="7">
        <v>1256</v>
      </c>
      <c r="B145" s="7">
        <v>2025</v>
      </c>
      <c r="C145" s="7" t="s">
        <v>261</v>
      </c>
      <c r="D145" s="7" t="s">
        <v>48</v>
      </c>
      <c r="E145" s="7" t="s">
        <v>501</v>
      </c>
      <c r="F145" s="7" t="s">
        <v>269</v>
      </c>
      <c r="G145" s="18">
        <v>45827</v>
      </c>
      <c r="H145" s="18">
        <v>45827</v>
      </c>
      <c r="I145" s="18">
        <v>46053</v>
      </c>
      <c r="J145" s="7" t="str">
        <f>VLOOKUP(D145,Droplist!A:C,3,0)</f>
        <v>Jakob Bluhme</v>
      </c>
      <c r="K145" s="7" t="s">
        <v>501</v>
      </c>
      <c r="L145" s="7" t="s">
        <v>264</v>
      </c>
      <c r="M145" s="7" t="str">
        <f t="shared" si="4"/>
        <v>AWARDED</v>
      </c>
      <c r="N145" s="7"/>
      <c r="O145" s="7">
        <v>18094</v>
      </c>
      <c r="P145" s="7">
        <v>360</v>
      </c>
      <c r="Q145" s="13">
        <f t="shared" si="5"/>
        <v>50.261111111111113</v>
      </c>
      <c r="R145" s="7">
        <v>457</v>
      </c>
      <c r="S145" s="7">
        <v>50</v>
      </c>
      <c r="T145" s="7"/>
      <c r="U145" s="7"/>
      <c r="V145" s="9" t="s">
        <v>502</v>
      </c>
    </row>
    <row r="146" spans="1:22" x14ac:dyDescent="0.25">
      <c r="A146" s="7">
        <v>1257</v>
      </c>
      <c r="B146" s="7">
        <v>2025</v>
      </c>
      <c r="C146" s="7" t="s">
        <v>261</v>
      </c>
      <c r="D146" s="7" t="s">
        <v>45</v>
      </c>
      <c r="E146" s="7" t="s">
        <v>503</v>
      </c>
      <c r="F146" s="7" t="s">
        <v>269</v>
      </c>
      <c r="G146" s="18">
        <v>45769</v>
      </c>
      <c r="H146" s="18">
        <v>45769</v>
      </c>
      <c r="I146" s="18">
        <v>45838</v>
      </c>
      <c r="J146" s="7" t="str">
        <f>VLOOKUP(D146,Droplist!A:C,3,0)</f>
        <v>Dennis Frankowski</v>
      </c>
      <c r="K146" s="7"/>
      <c r="L146" s="7" t="s">
        <v>267</v>
      </c>
      <c r="M146" s="7" t="str">
        <f t="shared" si="4"/>
        <v>NOT AWARDED</v>
      </c>
      <c r="N146" s="7" t="s">
        <v>285</v>
      </c>
      <c r="O146" s="7">
        <v>34620</v>
      </c>
      <c r="P146" s="7">
        <v>873</v>
      </c>
      <c r="Q146" s="13">
        <f t="shared" si="5"/>
        <v>39.656357388316152</v>
      </c>
      <c r="R146" s="7"/>
      <c r="S146" s="7"/>
      <c r="T146" s="7"/>
      <c r="U146" s="7"/>
      <c r="V146" s="9" t="s">
        <v>504</v>
      </c>
    </row>
    <row r="147" spans="1:22" x14ac:dyDescent="0.25">
      <c r="A147" s="7">
        <v>1258</v>
      </c>
      <c r="B147" s="7">
        <v>2025</v>
      </c>
      <c r="C147" s="7" t="s">
        <v>261</v>
      </c>
      <c r="D147" s="7" t="s">
        <v>45</v>
      </c>
      <c r="E147" s="7" t="s">
        <v>505</v>
      </c>
      <c r="F147" s="7" t="s">
        <v>269</v>
      </c>
      <c r="G147" s="18">
        <v>45792</v>
      </c>
      <c r="H147" s="18">
        <v>45793</v>
      </c>
      <c r="I147" s="18">
        <v>45960</v>
      </c>
      <c r="J147" s="7" t="str">
        <f>VLOOKUP(D147,Droplist!A:C,3,0)</f>
        <v>Dennis Frankowski</v>
      </c>
      <c r="K147" s="7"/>
      <c r="L147" s="7" t="s">
        <v>267</v>
      </c>
      <c r="M147" s="7" t="str">
        <f t="shared" si="4"/>
        <v>NOT AWARDED</v>
      </c>
      <c r="N147" s="7" t="s">
        <v>268</v>
      </c>
      <c r="O147" s="7">
        <v>1783</v>
      </c>
      <c r="P147" s="7">
        <v>48</v>
      </c>
      <c r="Q147" s="13">
        <f t="shared" si="5"/>
        <v>37.145833333333336</v>
      </c>
      <c r="R147" s="7"/>
      <c r="S147" s="7"/>
      <c r="T147" s="7"/>
      <c r="U147" s="7"/>
      <c r="V147" s="9" t="s">
        <v>371</v>
      </c>
    </row>
    <row r="148" spans="1:22" x14ac:dyDescent="0.25">
      <c r="A148" s="7">
        <v>1259</v>
      </c>
      <c r="B148" s="7">
        <v>2025</v>
      </c>
      <c r="C148" s="7" t="s">
        <v>261</v>
      </c>
      <c r="D148" s="7" t="s">
        <v>48</v>
      </c>
      <c r="E148" s="7" t="s">
        <v>457</v>
      </c>
      <c r="F148" s="7" t="s">
        <v>269</v>
      </c>
      <c r="G148" s="18">
        <v>45862</v>
      </c>
      <c r="H148" s="18">
        <v>45870</v>
      </c>
      <c r="I148" s="18">
        <v>45961</v>
      </c>
      <c r="J148" s="7" t="str">
        <f>VLOOKUP(D148,Droplist!A:C,3,0)</f>
        <v>Jakob Bluhme</v>
      </c>
      <c r="K148" s="7" t="s">
        <v>457</v>
      </c>
      <c r="L148" s="7" t="s">
        <v>264</v>
      </c>
      <c r="M148" s="7" t="str">
        <f t="shared" si="4"/>
        <v>AWARDED</v>
      </c>
      <c r="N148" s="7"/>
      <c r="O148" s="7">
        <v>3677</v>
      </c>
      <c r="P148" s="7">
        <v>33</v>
      </c>
      <c r="Q148" s="13">
        <f t="shared" si="5"/>
        <v>111.42424242424242</v>
      </c>
      <c r="R148" s="7">
        <v>700</v>
      </c>
      <c r="S148" s="7">
        <v>58</v>
      </c>
      <c r="T148" s="7"/>
      <c r="U148" s="7"/>
      <c r="V148" s="9" t="s">
        <v>484</v>
      </c>
    </row>
    <row r="149" spans="1:22" x14ac:dyDescent="0.25">
      <c r="A149" s="7">
        <v>1260</v>
      </c>
      <c r="B149" s="7">
        <v>2025</v>
      </c>
      <c r="C149" s="7" t="s">
        <v>261</v>
      </c>
      <c r="D149" s="7" t="s">
        <v>48</v>
      </c>
      <c r="E149" s="7" t="s">
        <v>209</v>
      </c>
      <c r="F149" s="7" t="s">
        <v>269</v>
      </c>
      <c r="G149" s="18">
        <v>45807</v>
      </c>
      <c r="H149" s="18">
        <v>45809</v>
      </c>
      <c r="I149" s="18">
        <v>46053</v>
      </c>
      <c r="J149" s="7" t="str">
        <f>VLOOKUP(D149,Droplist!A:C,3,0)</f>
        <v>Jakob Bluhme</v>
      </c>
      <c r="K149" s="7" t="s">
        <v>209</v>
      </c>
      <c r="L149" s="7" t="s">
        <v>264</v>
      </c>
      <c r="M149" s="7" t="str">
        <f t="shared" si="4"/>
        <v>AWARDED</v>
      </c>
      <c r="N149" s="7"/>
      <c r="O149" s="7">
        <v>1439</v>
      </c>
      <c r="P149" s="7">
        <v>44</v>
      </c>
      <c r="Q149" s="13">
        <f t="shared" si="5"/>
        <v>32.704545454545453</v>
      </c>
      <c r="R149" s="7">
        <v>388</v>
      </c>
      <c r="S149" s="7">
        <v>35</v>
      </c>
      <c r="T149" s="7">
        <v>52.088000000000015</v>
      </c>
      <c r="U149" s="7">
        <v>47.199999999999996</v>
      </c>
      <c r="V149" s="9" t="s">
        <v>506</v>
      </c>
    </row>
    <row r="150" spans="1:22" x14ac:dyDescent="0.25">
      <c r="A150" s="7">
        <v>1261</v>
      </c>
      <c r="B150" s="7">
        <v>2025</v>
      </c>
      <c r="C150" s="7" t="s">
        <v>261</v>
      </c>
      <c r="D150" s="7" t="s">
        <v>485</v>
      </c>
      <c r="E150" s="7" t="s">
        <v>507</v>
      </c>
      <c r="F150" s="7" t="s">
        <v>269</v>
      </c>
      <c r="G150" s="18">
        <v>45789</v>
      </c>
      <c r="H150" s="18">
        <v>45789</v>
      </c>
      <c r="I150" s="18">
        <v>45961</v>
      </c>
      <c r="J150" s="7" t="str">
        <f>VLOOKUP(D150,Droplist!A:C,3,0)</f>
        <v>Jakob Bluhme / Christine Solorzano / Diane Kaiser</v>
      </c>
      <c r="K150" s="7"/>
      <c r="L150" s="7" t="s">
        <v>267</v>
      </c>
      <c r="M150" s="7" t="str">
        <f t="shared" si="4"/>
        <v>NOT AWARDED</v>
      </c>
      <c r="N150" s="7" t="s">
        <v>354</v>
      </c>
      <c r="O150" s="7">
        <v>10325</v>
      </c>
      <c r="P150" s="7">
        <v>317</v>
      </c>
      <c r="Q150" s="13">
        <f t="shared" si="5"/>
        <v>32.570977917981075</v>
      </c>
      <c r="R150" s="7"/>
      <c r="S150" s="7"/>
      <c r="T150" s="7"/>
      <c r="U150" s="7"/>
      <c r="V150" s="9" t="s">
        <v>491</v>
      </c>
    </row>
    <row r="151" spans="1:22" x14ac:dyDescent="0.25">
      <c r="A151" s="7">
        <v>1262</v>
      </c>
      <c r="B151" s="7">
        <v>2025</v>
      </c>
      <c r="C151" s="7" t="s">
        <v>296</v>
      </c>
      <c r="D151" s="7" t="s">
        <v>48</v>
      </c>
      <c r="E151" s="7" t="s">
        <v>385</v>
      </c>
      <c r="F151" s="7" t="s">
        <v>269</v>
      </c>
      <c r="G151" s="18">
        <v>45931</v>
      </c>
      <c r="H151" s="18">
        <v>45931</v>
      </c>
      <c r="I151" s="18">
        <v>46022</v>
      </c>
      <c r="J151" s="7" t="str">
        <f>VLOOKUP(D151,Droplist!A:C,3,0)</f>
        <v>Jakob Bluhme</v>
      </c>
      <c r="K151" s="7" t="s">
        <v>385</v>
      </c>
      <c r="L151" s="7" t="s">
        <v>264</v>
      </c>
      <c r="M151" s="7" t="str">
        <f t="shared" si="4"/>
        <v>AWARDED</v>
      </c>
      <c r="N151" s="7"/>
      <c r="O151" s="7">
        <v>18186</v>
      </c>
      <c r="P151" s="7">
        <v>101</v>
      </c>
      <c r="Q151" s="13">
        <f t="shared" si="5"/>
        <v>180.05940594059405</v>
      </c>
      <c r="R151" s="7">
        <v>10343</v>
      </c>
      <c r="S151" s="7">
        <v>861.91666666666663</v>
      </c>
      <c r="T151" s="7">
        <v>248.23200000000003</v>
      </c>
      <c r="U151" s="7">
        <v>26.342000000000002</v>
      </c>
      <c r="V151" s="9" t="s">
        <v>508</v>
      </c>
    </row>
    <row r="152" spans="1:22" x14ac:dyDescent="0.25">
      <c r="A152" s="7">
        <v>1263</v>
      </c>
      <c r="B152" s="7">
        <v>2025</v>
      </c>
      <c r="C152" s="7" t="s">
        <v>261</v>
      </c>
      <c r="D152" s="7" t="s">
        <v>48</v>
      </c>
      <c r="E152" s="7" t="s">
        <v>331</v>
      </c>
      <c r="F152" s="7" t="s">
        <v>269</v>
      </c>
      <c r="G152" s="18">
        <v>45889</v>
      </c>
      <c r="H152" s="18">
        <v>45901</v>
      </c>
      <c r="I152" s="18">
        <v>45991</v>
      </c>
      <c r="J152" s="7" t="str">
        <f>VLOOKUP(D152,Droplist!A:C,3,0)</f>
        <v>Jakob Bluhme</v>
      </c>
      <c r="K152" s="7" t="s">
        <v>331</v>
      </c>
      <c r="L152" s="7" t="s">
        <v>264</v>
      </c>
      <c r="M152" s="7" t="str">
        <f t="shared" si="4"/>
        <v>MAINTENANCE</v>
      </c>
      <c r="N152" s="7"/>
      <c r="O152" s="7">
        <v>6268</v>
      </c>
      <c r="P152" s="7">
        <v>47</v>
      </c>
      <c r="Q152" s="13">
        <f t="shared" si="5"/>
        <v>133.36170212765958</v>
      </c>
      <c r="R152" s="7">
        <v>619</v>
      </c>
      <c r="S152" s="7">
        <v>51.583333333333336</v>
      </c>
      <c r="T152" s="7">
        <v>530.68399999999963</v>
      </c>
      <c r="U152" s="7">
        <v>42.838000000000001</v>
      </c>
      <c r="V152" s="9" t="s">
        <v>484</v>
      </c>
    </row>
    <row r="153" spans="1:22" x14ac:dyDescent="0.25">
      <c r="A153" s="7">
        <v>1264</v>
      </c>
      <c r="B153" s="7">
        <v>2025</v>
      </c>
      <c r="C153" s="7" t="s">
        <v>261</v>
      </c>
      <c r="D153" s="7" t="s">
        <v>80</v>
      </c>
      <c r="E153" s="7" t="s">
        <v>493</v>
      </c>
      <c r="F153" s="7" t="s">
        <v>269</v>
      </c>
      <c r="G153" s="18">
        <v>45813</v>
      </c>
      <c r="H153" s="18">
        <v>45839</v>
      </c>
      <c r="I153" s="18">
        <v>45930</v>
      </c>
      <c r="J153" s="7" t="str">
        <f>VLOOKUP(D153,Droplist!A:C,3,0)</f>
        <v>Jens Pottschul</v>
      </c>
      <c r="K153" s="7"/>
      <c r="L153" s="7" t="s">
        <v>267</v>
      </c>
      <c r="M153" s="7" t="str">
        <f t="shared" si="4"/>
        <v>NOT AWARDED</v>
      </c>
      <c r="N153" s="7" t="s">
        <v>268</v>
      </c>
      <c r="O153" s="7">
        <v>3389.3</v>
      </c>
      <c r="P153" s="7">
        <v>65</v>
      </c>
      <c r="Q153" s="13">
        <f t="shared" si="5"/>
        <v>52.143076923076926</v>
      </c>
      <c r="R153" s="7"/>
      <c r="S153" s="7"/>
      <c r="T153" s="7"/>
      <c r="U153" s="7"/>
      <c r="V153" s="9"/>
    </row>
    <row r="154" spans="1:22" x14ac:dyDescent="0.25">
      <c r="A154" s="7">
        <v>1265</v>
      </c>
      <c r="B154" s="7">
        <v>2025</v>
      </c>
      <c r="C154" s="7" t="s">
        <v>261</v>
      </c>
      <c r="D154" s="7" t="s">
        <v>234</v>
      </c>
      <c r="E154" s="7" t="s">
        <v>372</v>
      </c>
      <c r="F154" s="7" t="s">
        <v>269</v>
      </c>
      <c r="G154" s="18">
        <v>45803</v>
      </c>
      <c r="H154" s="18">
        <v>45809</v>
      </c>
      <c r="I154" s="18">
        <v>46022</v>
      </c>
      <c r="J154" s="7" t="str">
        <f>VLOOKUP(D154,Droplist!A:C,3,0)</f>
        <v>Chris Crowder</v>
      </c>
      <c r="K154" s="7" t="s">
        <v>509</v>
      </c>
      <c r="L154" s="7" t="s">
        <v>264</v>
      </c>
      <c r="M154" s="7" t="str">
        <f t="shared" si="4"/>
        <v>AWARDED</v>
      </c>
      <c r="N154" s="7"/>
      <c r="O154" s="7">
        <v>4924</v>
      </c>
      <c r="P154" s="7">
        <v>105</v>
      </c>
      <c r="Q154" s="13">
        <f t="shared" si="5"/>
        <v>46.895238095238092</v>
      </c>
      <c r="R154" s="7">
        <v>300</v>
      </c>
      <c r="S154" s="7">
        <v>45</v>
      </c>
      <c r="T154" s="7">
        <v>85.006</v>
      </c>
      <c r="U154" s="7"/>
      <c r="V154" s="9"/>
    </row>
    <row r="155" spans="1:22" x14ac:dyDescent="0.25">
      <c r="A155" s="7">
        <v>1267</v>
      </c>
      <c r="B155" s="7">
        <v>2025</v>
      </c>
      <c r="C155" s="7" t="s">
        <v>296</v>
      </c>
      <c r="D155" s="7" t="s">
        <v>48</v>
      </c>
      <c r="E155" s="7" t="s">
        <v>510</v>
      </c>
      <c r="F155" s="7" t="s">
        <v>511</v>
      </c>
      <c r="G155" s="18">
        <v>45936</v>
      </c>
      <c r="H155" s="18">
        <v>45931</v>
      </c>
      <c r="I155" s="18">
        <v>46022</v>
      </c>
      <c r="J155" s="7" t="str">
        <f>VLOOKUP(D155,Droplist!A:C,3,0)</f>
        <v>Jakob Bluhme</v>
      </c>
      <c r="K155" s="7" t="s">
        <v>510</v>
      </c>
      <c r="L155" s="7" t="s">
        <v>264</v>
      </c>
      <c r="M155" s="7" t="str">
        <f t="shared" si="4"/>
        <v>AWARDED</v>
      </c>
      <c r="N155" s="7"/>
      <c r="O155" s="7">
        <v>900</v>
      </c>
      <c r="P155" s="7">
        <v>14</v>
      </c>
      <c r="Q155" s="13">
        <f t="shared" si="5"/>
        <v>64.285714285714292</v>
      </c>
      <c r="R155" s="7">
        <v>530.4</v>
      </c>
      <c r="S155" s="7" t="s">
        <v>265</v>
      </c>
      <c r="T155" s="7">
        <v>204.09300000000005</v>
      </c>
      <c r="U155" s="7">
        <v>41.29</v>
      </c>
      <c r="V155" s="9"/>
    </row>
    <row r="156" spans="1:22" x14ac:dyDescent="0.25">
      <c r="A156" s="7">
        <v>1268</v>
      </c>
      <c r="B156" s="7">
        <v>2025</v>
      </c>
      <c r="C156" s="7" t="s">
        <v>261</v>
      </c>
      <c r="D156" s="7" t="s">
        <v>45</v>
      </c>
      <c r="E156" s="7" t="s">
        <v>305</v>
      </c>
      <c r="F156" s="7" t="s">
        <v>269</v>
      </c>
      <c r="G156" s="18">
        <v>45814</v>
      </c>
      <c r="H156" s="18">
        <v>45814</v>
      </c>
      <c r="I156" s="18">
        <v>46022</v>
      </c>
      <c r="J156" s="7" t="str">
        <f>VLOOKUP(D156,Droplist!A:C,3,0)</f>
        <v>Dennis Frankowski</v>
      </c>
      <c r="K156" s="7"/>
      <c r="L156" s="7" t="s">
        <v>267</v>
      </c>
      <c r="M156" s="7" t="str">
        <f t="shared" si="4"/>
        <v>NOT AWARDED</v>
      </c>
      <c r="N156" s="7" t="s">
        <v>512</v>
      </c>
      <c r="O156" s="7">
        <v>2400</v>
      </c>
      <c r="P156" s="7">
        <v>384</v>
      </c>
      <c r="Q156" s="13">
        <f t="shared" si="5"/>
        <v>6.25</v>
      </c>
      <c r="R156" s="7"/>
      <c r="S156" s="7"/>
      <c r="T156" s="7"/>
      <c r="U156" s="7"/>
      <c r="V156" s="9"/>
    </row>
    <row r="157" spans="1:22" ht="23.25" x14ac:dyDescent="0.25">
      <c r="A157" s="7">
        <v>1269</v>
      </c>
      <c r="B157" s="7">
        <v>2025</v>
      </c>
      <c r="C157" s="7" t="s">
        <v>261</v>
      </c>
      <c r="D157" s="7" t="s">
        <v>45</v>
      </c>
      <c r="E157" s="7" t="s">
        <v>513</v>
      </c>
      <c r="F157" s="7" t="s">
        <v>269</v>
      </c>
      <c r="G157" s="18">
        <v>46001</v>
      </c>
      <c r="H157" s="18">
        <v>46001</v>
      </c>
      <c r="I157" s="18">
        <v>46112</v>
      </c>
      <c r="J157" s="7" t="str">
        <f>VLOOKUP(D157,Droplist!A:C,3,0)</f>
        <v>Dennis Frankowski</v>
      </c>
      <c r="K157" s="7"/>
      <c r="L157" s="7" t="s">
        <v>267</v>
      </c>
      <c r="M157" s="7" t="str">
        <f t="shared" si="4"/>
        <v>NOT AWARDED</v>
      </c>
      <c r="N157" s="7" t="s">
        <v>514</v>
      </c>
      <c r="O157" s="7">
        <v>3992</v>
      </c>
      <c r="P157" s="7">
        <v>113</v>
      </c>
      <c r="Q157" s="13">
        <f t="shared" si="5"/>
        <v>35.327433628318587</v>
      </c>
      <c r="R157" s="7"/>
      <c r="S157" s="7"/>
      <c r="T157" s="7"/>
      <c r="U157" s="7"/>
      <c r="V157" s="9" t="s">
        <v>515</v>
      </c>
    </row>
    <row r="158" spans="1:22" x14ac:dyDescent="0.25">
      <c r="A158" s="7">
        <v>1270</v>
      </c>
      <c r="B158" s="7">
        <v>2025</v>
      </c>
      <c r="C158" s="7" t="s">
        <v>261</v>
      </c>
      <c r="D158" s="7" t="s">
        <v>45</v>
      </c>
      <c r="E158" s="7" t="s">
        <v>516</v>
      </c>
      <c r="F158" s="7" t="s">
        <v>269</v>
      </c>
      <c r="G158" s="18">
        <v>45831</v>
      </c>
      <c r="H158" s="18">
        <v>45833</v>
      </c>
      <c r="I158" s="18">
        <v>46022</v>
      </c>
      <c r="J158" s="7" t="str">
        <f>VLOOKUP(D158,Droplist!A:C,3,0)</f>
        <v>Dennis Frankowski</v>
      </c>
      <c r="K158" s="7"/>
      <c r="L158" s="7" t="s">
        <v>267</v>
      </c>
      <c r="M158" s="7" t="str">
        <f t="shared" si="4"/>
        <v>NOT AWARDED</v>
      </c>
      <c r="N158" s="7" t="s">
        <v>268</v>
      </c>
      <c r="O158" s="7">
        <v>10609</v>
      </c>
      <c r="P158" s="7">
        <v>285</v>
      </c>
      <c r="Q158" s="13">
        <f t="shared" si="5"/>
        <v>37.224561403508773</v>
      </c>
      <c r="R158" s="7"/>
      <c r="S158" s="7"/>
      <c r="T158" s="7"/>
      <c r="U158" s="7"/>
      <c r="V158" s="9" t="s">
        <v>517</v>
      </c>
    </row>
    <row r="159" spans="1:22" x14ac:dyDescent="0.25">
      <c r="A159" s="7">
        <v>1271</v>
      </c>
      <c r="B159" s="7">
        <v>2025</v>
      </c>
      <c r="C159" s="7" t="s">
        <v>261</v>
      </c>
      <c r="D159" s="7" t="s">
        <v>72</v>
      </c>
      <c r="E159" s="7" t="s">
        <v>518</v>
      </c>
      <c r="F159" s="7" t="s">
        <v>269</v>
      </c>
      <c r="G159" s="18">
        <v>45805</v>
      </c>
      <c r="H159" s="18">
        <v>45806</v>
      </c>
      <c r="I159" s="18">
        <v>45930</v>
      </c>
      <c r="J159" s="7" t="str">
        <f>VLOOKUP(D159,Droplist!A:C,3,0)</f>
        <v>Jens Pottschul</v>
      </c>
      <c r="K159" s="7"/>
      <c r="L159" s="7" t="s">
        <v>267</v>
      </c>
      <c r="M159" s="7" t="str">
        <f t="shared" si="4"/>
        <v>NOT AWARDED</v>
      </c>
      <c r="N159" s="7" t="s">
        <v>268</v>
      </c>
      <c r="O159" s="7">
        <v>1150</v>
      </c>
      <c r="P159" s="7">
        <v>23</v>
      </c>
      <c r="Q159" s="13">
        <f t="shared" si="5"/>
        <v>50</v>
      </c>
      <c r="R159" s="7"/>
      <c r="S159" s="7"/>
      <c r="T159" s="7"/>
      <c r="U159" s="7"/>
      <c r="V159" s="9" t="s">
        <v>519</v>
      </c>
    </row>
    <row r="160" spans="1:22" x14ac:dyDescent="0.25">
      <c r="A160" s="7">
        <v>1272</v>
      </c>
      <c r="B160" s="7">
        <v>2025</v>
      </c>
      <c r="C160" s="7" t="s">
        <v>261</v>
      </c>
      <c r="D160" s="7" t="s">
        <v>72</v>
      </c>
      <c r="E160" s="7" t="s">
        <v>520</v>
      </c>
      <c r="F160" s="7" t="s">
        <v>269</v>
      </c>
      <c r="G160" s="18">
        <v>45824</v>
      </c>
      <c r="H160" s="18">
        <v>45825</v>
      </c>
      <c r="I160" s="18">
        <v>45930</v>
      </c>
      <c r="J160" s="7" t="str">
        <f>VLOOKUP(D160,Droplist!A:C,3,0)</f>
        <v>Jens Pottschul</v>
      </c>
      <c r="K160" s="7"/>
      <c r="L160" s="7" t="s">
        <v>267</v>
      </c>
      <c r="M160" s="7" t="str">
        <f t="shared" si="4"/>
        <v>NOT AWARDED</v>
      </c>
      <c r="N160" s="7" t="s">
        <v>268</v>
      </c>
      <c r="O160" s="7">
        <v>1620</v>
      </c>
      <c r="P160" s="7">
        <v>26</v>
      </c>
      <c r="Q160" s="13">
        <f t="shared" si="5"/>
        <v>62.307692307692307</v>
      </c>
      <c r="R160" s="7"/>
      <c r="S160" s="7"/>
      <c r="T160" s="7"/>
      <c r="U160" s="7"/>
      <c r="V160" s="9" t="s">
        <v>521</v>
      </c>
    </row>
    <row r="161" spans="1:22" x14ac:dyDescent="0.25">
      <c r="A161" s="7">
        <v>1273</v>
      </c>
      <c r="B161" s="7">
        <v>2025</v>
      </c>
      <c r="C161" s="7" t="s">
        <v>261</v>
      </c>
      <c r="D161" s="7" t="s">
        <v>80</v>
      </c>
      <c r="E161" s="7" t="s">
        <v>522</v>
      </c>
      <c r="F161" s="7" t="s">
        <v>269</v>
      </c>
      <c r="G161" s="18">
        <v>45812</v>
      </c>
      <c r="H161" s="18">
        <v>45813</v>
      </c>
      <c r="I161" s="18">
        <v>45900</v>
      </c>
      <c r="J161" s="7" t="str">
        <f>VLOOKUP(D161,Droplist!A:C,3,0)</f>
        <v>Jens Pottschul</v>
      </c>
      <c r="K161" s="7"/>
      <c r="L161" s="7" t="s">
        <v>267</v>
      </c>
      <c r="M161" s="7" t="str">
        <f t="shared" si="4"/>
        <v>NOT AWARDED</v>
      </c>
      <c r="N161" s="7" t="s">
        <v>523</v>
      </c>
      <c r="O161" s="7">
        <v>3000</v>
      </c>
      <c r="P161" s="7">
        <v>253</v>
      </c>
      <c r="Q161" s="13">
        <f t="shared" si="5"/>
        <v>11.857707509881424</v>
      </c>
      <c r="R161" s="7"/>
      <c r="S161" s="7"/>
      <c r="T161" s="7"/>
      <c r="U161" s="7"/>
      <c r="V161" s="9"/>
    </row>
    <row r="162" spans="1:22" x14ac:dyDescent="0.25">
      <c r="A162" s="7">
        <v>1274</v>
      </c>
      <c r="B162" s="7">
        <v>2025</v>
      </c>
      <c r="C162" s="7" t="s">
        <v>261</v>
      </c>
      <c r="D162" s="7" t="s">
        <v>80</v>
      </c>
      <c r="E162" s="7" t="s">
        <v>524</v>
      </c>
      <c r="F162" s="7" t="s">
        <v>269</v>
      </c>
      <c r="G162" s="18">
        <v>45915</v>
      </c>
      <c r="H162" s="18">
        <v>45931</v>
      </c>
      <c r="I162" s="18">
        <v>46022</v>
      </c>
      <c r="J162" s="7" t="str">
        <f>VLOOKUP(D162,Droplist!A:C,3,0)</f>
        <v>Jens Pottschul</v>
      </c>
      <c r="K162" s="7" t="s">
        <v>524</v>
      </c>
      <c r="L162" s="7" t="s">
        <v>264</v>
      </c>
      <c r="M162" s="7" t="str">
        <f t="shared" si="4"/>
        <v>AWARDED</v>
      </c>
      <c r="N162" s="7"/>
      <c r="O162" s="7">
        <v>2980</v>
      </c>
      <c r="P162" s="7">
        <v>78</v>
      </c>
      <c r="Q162" s="13">
        <f t="shared" si="5"/>
        <v>38.205128205128204</v>
      </c>
      <c r="R162" s="7">
        <v>45</v>
      </c>
      <c r="S162" s="7">
        <v>3</v>
      </c>
      <c r="T162" s="7"/>
      <c r="U162" s="7"/>
      <c r="V162" s="9" t="s">
        <v>525</v>
      </c>
    </row>
    <row r="163" spans="1:22" x14ac:dyDescent="0.25">
      <c r="A163" s="7">
        <v>1275</v>
      </c>
      <c r="B163" s="7">
        <v>2025</v>
      </c>
      <c r="C163" s="7" t="s">
        <v>261</v>
      </c>
      <c r="D163" s="7" t="s">
        <v>84</v>
      </c>
      <c r="E163" s="7" t="s">
        <v>526</v>
      </c>
      <c r="F163" s="7" t="s">
        <v>269</v>
      </c>
      <c r="G163" s="18">
        <v>45825</v>
      </c>
      <c r="H163" s="18">
        <v>45839</v>
      </c>
      <c r="I163" s="18">
        <v>45930</v>
      </c>
      <c r="J163" s="7" t="str">
        <f>VLOOKUP(D163,Droplist!A:C,3,0)</f>
        <v>Martin Schulz</v>
      </c>
      <c r="K163" s="7"/>
      <c r="L163" s="7" t="s">
        <v>267</v>
      </c>
      <c r="M163" s="7" t="str">
        <f t="shared" si="4"/>
        <v>NOT AWARDED</v>
      </c>
      <c r="N163" s="7" t="s">
        <v>512</v>
      </c>
      <c r="O163" s="7">
        <v>500</v>
      </c>
      <c r="P163" s="7">
        <v>57</v>
      </c>
      <c r="Q163" s="13">
        <f t="shared" si="5"/>
        <v>8.7719298245614041</v>
      </c>
      <c r="R163" s="7"/>
      <c r="S163" s="7"/>
      <c r="T163" s="7"/>
      <c r="U163" s="7"/>
      <c r="V163" s="9"/>
    </row>
    <row r="164" spans="1:22" x14ac:dyDescent="0.25">
      <c r="A164" s="7">
        <v>1276</v>
      </c>
      <c r="B164" s="7">
        <v>2025</v>
      </c>
      <c r="C164" s="7" t="s">
        <v>261</v>
      </c>
      <c r="D164" s="7" t="s">
        <v>84</v>
      </c>
      <c r="E164" s="7" t="s">
        <v>527</v>
      </c>
      <c r="F164" s="7" t="s">
        <v>269</v>
      </c>
      <c r="G164" s="18">
        <v>45832</v>
      </c>
      <c r="H164" s="18">
        <v>45839</v>
      </c>
      <c r="I164" s="18">
        <v>46022</v>
      </c>
      <c r="J164" s="7" t="str">
        <f>VLOOKUP(D164,Droplist!A:C,3,0)</f>
        <v>Martin Schulz</v>
      </c>
      <c r="K164" s="7" t="s">
        <v>528</v>
      </c>
      <c r="L164" s="7" t="s">
        <v>264</v>
      </c>
      <c r="M164" s="7" t="str">
        <f t="shared" si="4"/>
        <v>PRIME</v>
      </c>
      <c r="N164" s="7"/>
      <c r="O164" s="7">
        <v>6137.5</v>
      </c>
      <c r="P164" s="7">
        <v>855</v>
      </c>
      <c r="Q164" s="13">
        <f t="shared" si="5"/>
        <v>7.1783625730994149</v>
      </c>
      <c r="R164" s="7">
        <v>6138</v>
      </c>
      <c r="S164" s="7">
        <v>500</v>
      </c>
      <c r="T164" s="7">
        <v>8694.674999999992</v>
      </c>
      <c r="U164" s="7">
        <v>1244.7780000000007</v>
      </c>
      <c r="V164" s="9"/>
    </row>
    <row r="165" spans="1:22" x14ac:dyDescent="0.25">
      <c r="A165" s="7">
        <v>1277</v>
      </c>
      <c r="B165" s="7">
        <v>2025</v>
      </c>
      <c r="C165" s="7" t="s">
        <v>261</v>
      </c>
      <c r="D165" s="7" t="s">
        <v>87</v>
      </c>
      <c r="E165" s="7" t="s">
        <v>315</v>
      </c>
      <c r="F165" s="7" t="s">
        <v>269</v>
      </c>
      <c r="G165" s="18">
        <v>45812</v>
      </c>
      <c r="H165" s="18">
        <v>45812</v>
      </c>
      <c r="I165" s="18">
        <v>46022</v>
      </c>
      <c r="J165" s="7" t="str">
        <f>VLOOKUP(D165,Droplist!A:C,3,0)</f>
        <v>Martin Schulz</v>
      </c>
      <c r="K165" s="7"/>
      <c r="L165" s="7" t="s">
        <v>267</v>
      </c>
      <c r="M165" s="7" t="str">
        <f t="shared" si="4"/>
        <v>NOT AWARDED</v>
      </c>
      <c r="N165" s="7" t="s">
        <v>529</v>
      </c>
      <c r="O165" s="7">
        <v>700</v>
      </c>
      <c r="P165" s="7">
        <v>25</v>
      </c>
      <c r="Q165" s="13">
        <f t="shared" si="5"/>
        <v>28</v>
      </c>
      <c r="R165" s="7"/>
      <c r="S165" s="7"/>
      <c r="T165" s="7"/>
      <c r="U165" s="7"/>
      <c r="V165" s="9"/>
    </row>
    <row r="166" spans="1:22" x14ac:dyDescent="0.25">
      <c r="A166" s="7">
        <v>1278</v>
      </c>
      <c r="B166" s="7">
        <v>2025</v>
      </c>
      <c r="C166" s="7" t="s">
        <v>261</v>
      </c>
      <c r="D166" s="7" t="s">
        <v>87</v>
      </c>
      <c r="E166" s="7" t="s">
        <v>530</v>
      </c>
      <c r="F166" s="7" t="s">
        <v>269</v>
      </c>
      <c r="G166" s="18">
        <v>45826</v>
      </c>
      <c r="H166" s="18">
        <v>45839</v>
      </c>
      <c r="I166" s="18">
        <v>45930</v>
      </c>
      <c r="J166" s="7" t="str">
        <f>VLOOKUP(D166,Droplist!A:C,3,0)</f>
        <v>Martin Schulz</v>
      </c>
      <c r="K166" s="7"/>
      <c r="L166" s="7" t="s">
        <v>267</v>
      </c>
      <c r="M166" s="7" t="str">
        <f t="shared" si="4"/>
        <v>NOT AWARDED</v>
      </c>
      <c r="N166" s="7" t="s">
        <v>531</v>
      </c>
      <c r="O166" s="7">
        <v>2400</v>
      </c>
      <c r="P166" s="7">
        <v>160</v>
      </c>
      <c r="Q166" s="13">
        <f t="shared" si="5"/>
        <v>15</v>
      </c>
      <c r="R166" s="7"/>
      <c r="S166" s="7"/>
      <c r="T166" s="7"/>
      <c r="U166" s="7"/>
      <c r="V166" s="9"/>
    </row>
    <row r="167" spans="1:22" x14ac:dyDescent="0.25">
      <c r="A167" s="7">
        <v>1279</v>
      </c>
      <c r="B167" s="7">
        <v>2025</v>
      </c>
      <c r="C167" s="7" t="s">
        <v>261</v>
      </c>
      <c r="D167" s="7" t="s">
        <v>102</v>
      </c>
      <c r="E167" s="7" t="s">
        <v>194</v>
      </c>
      <c r="F167" s="7" t="s">
        <v>269</v>
      </c>
      <c r="G167" s="18">
        <v>45915</v>
      </c>
      <c r="H167" s="18">
        <v>45931</v>
      </c>
      <c r="I167" s="18">
        <v>46022</v>
      </c>
      <c r="J167" s="7" t="str">
        <f>VLOOKUP(D167,Droplist!A:C,3,0)</f>
        <v>Jens Pottschul</v>
      </c>
      <c r="K167" s="7" t="s">
        <v>194</v>
      </c>
      <c r="L167" s="7" t="s">
        <v>264</v>
      </c>
      <c r="M167" s="7" t="str">
        <f t="shared" si="4"/>
        <v>AWARDED</v>
      </c>
      <c r="N167" s="7"/>
      <c r="O167" s="7">
        <v>1975</v>
      </c>
      <c r="P167" s="7">
        <v>125</v>
      </c>
      <c r="Q167" s="13">
        <f t="shared" si="5"/>
        <v>15.8</v>
      </c>
      <c r="R167" s="7">
        <v>736</v>
      </c>
      <c r="S167" s="7">
        <v>245</v>
      </c>
      <c r="T167" s="7">
        <v>37.507999999999996</v>
      </c>
      <c r="U167" s="7">
        <v>3.45</v>
      </c>
      <c r="V167" s="9"/>
    </row>
    <row r="168" spans="1:22" x14ac:dyDescent="0.25">
      <c r="A168" s="7">
        <v>1280</v>
      </c>
      <c r="B168" s="7">
        <v>2025</v>
      </c>
      <c r="C168" s="7" t="s">
        <v>261</v>
      </c>
      <c r="D168" s="7" t="s">
        <v>185</v>
      </c>
      <c r="E168" s="7" t="s">
        <v>532</v>
      </c>
      <c r="F168" s="7" t="s">
        <v>269</v>
      </c>
      <c r="G168" s="18">
        <v>45828</v>
      </c>
      <c r="H168" s="18">
        <v>45828</v>
      </c>
      <c r="I168" s="18">
        <v>46022</v>
      </c>
      <c r="J168" s="7" t="str">
        <f>VLOOKUP(D168,Droplist!A:C,3,0)</f>
        <v>Jens Pottschul</v>
      </c>
      <c r="K168" s="7"/>
      <c r="L168" s="7" t="s">
        <v>267</v>
      </c>
      <c r="M168" s="7" t="str">
        <f t="shared" si="4"/>
        <v>NOT AWARDED</v>
      </c>
      <c r="N168" s="7" t="s">
        <v>354</v>
      </c>
      <c r="O168" s="7">
        <v>1875</v>
      </c>
      <c r="P168" s="7">
        <v>72</v>
      </c>
      <c r="Q168" s="13">
        <f t="shared" si="5"/>
        <v>26.041666666666668</v>
      </c>
      <c r="R168" s="7"/>
      <c r="S168" s="7"/>
      <c r="T168" s="7"/>
      <c r="U168" s="7"/>
      <c r="V168" s="9" t="s">
        <v>533</v>
      </c>
    </row>
    <row r="169" spans="1:22" ht="23.25" x14ac:dyDescent="0.25">
      <c r="A169" s="7">
        <v>1281</v>
      </c>
      <c r="B169" s="7">
        <v>2025</v>
      </c>
      <c r="C169" s="7" t="s">
        <v>296</v>
      </c>
      <c r="D169" s="7" t="s">
        <v>407</v>
      </c>
      <c r="E169" s="7" t="s">
        <v>534</v>
      </c>
      <c r="F169" s="7" t="s">
        <v>269</v>
      </c>
      <c r="G169" s="18">
        <v>45769</v>
      </c>
      <c r="H169" s="18">
        <v>45931</v>
      </c>
      <c r="I169" s="18">
        <v>46022</v>
      </c>
      <c r="J169" s="7" t="str">
        <f>VLOOKUP(D169,Droplist!A:C,3,0)</f>
        <v xml:space="preserve">Roberta MacLeod-Stuart </v>
      </c>
      <c r="K169" s="7" t="s">
        <v>535</v>
      </c>
      <c r="L169" s="7" t="s">
        <v>277</v>
      </c>
      <c r="M169" s="7" t="str">
        <f t="shared" si="4"/>
        <v>AWARDED/EXPIRED</v>
      </c>
      <c r="N169" s="7"/>
      <c r="O169" s="7">
        <v>557</v>
      </c>
      <c r="P169" s="7">
        <v>151</v>
      </c>
      <c r="Q169" s="13">
        <f t="shared" si="5"/>
        <v>3.6887417218543046</v>
      </c>
      <c r="R169" s="7">
        <v>557</v>
      </c>
      <c r="S169" s="7" t="s">
        <v>265</v>
      </c>
      <c r="T169" s="7"/>
      <c r="U169" s="7"/>
      <c r="V169" s="9" t="s">
        <v>536</v>
      </c>
    </row>
    <row r="170" spans="1:22" ht="34.5" x14ac:dyDescent="0.25">
      <c r="A170" s="7">
        <v>1282</v>
      </c>
      <c r="B170" s="7">
        <v>2025</v>
      </c>
      <c r="C170" s="7" t="s">
        <v>296</v>
      </c>
      <c r="D170" s="7" t="s">
        <v>407</v>
      </c>
      <c r="E170" s="7" t="s">
        <v>537</v>
      </c>
      <c r="F170" s="7" t="s">
        <v>269</v>
      </c>
      <c r="G170" s="18">
        <v>45782</v>
      </c>
      <c r="H170" s="18">
        <v>45992</v>
      </c>
      <c r="I170" s="18">
        <v>46173</v>
      </c>
      <c r="J170" s="7" t="str">
        <f>VLOOKUP(D170,Droplist!A:C,3,0)</f>
        <v xml:space="preserve">Roberta MacLeod-Stuart </v>
      </c>
      <c r="K170" s="7" t="s">
        <v>537</v>
      </c>
      <c r="L170" s="7" t="s">
        <v>264</v>
      </c>
      <c r="M170" s="7" t="str">
        <f t="shared" si="4"/>
        <v>AWARDED</v>
      </c>
      <c r="N170" s="7"/>
      <c r="O170" s="7">
        <v>3381</v>
      </c>
      <c r="P170" s="7">
        <v>598</v>
      </c>
      <c r="Q170" s="13">
        <f t="shared" si="5"/>
        <v>5.6538461538461542</v>
      </c>
      <c r="R170" s="7" t="s">
        <v>280</v>
      </c>
      <c r="S170" s="7" t="s">
        <v>280</v>
      </c>
      <c r="T170" s="7">
        <v>194.49700000000001</v>
      </c>
      <c r="U170" s="7">
        <v>159.68899999999999</v>
      </c>
      <c r="V170" s="9" t="s">
        <v>538</v>
      </c>
    </row>
    <row r="171" spans="1:22" x14ac:dyDescent="0.25">
      <c r="A171" s="7">
        <v>1283</v>
      </c>
      <c r="B171" s="7">
        <v>2025</v>
      </c>
      <c r="C171" s="7" t="s">
        <v>296</v>
      </c>
      <c r="D171" s="7" t="s">
        <v>407</v>
      </c>
      <c r="E171" s="7" t="s">
        <v>193</v>
      </c>
      <c r="F171" s="7" t="s">
        <v>269</v>
      </c>
      <c r="G171" s="18">
        <v>45769</v>
      </c>
      <c r="H171" s="18">
        <v>45809</v>
      </c>
      <c r="I171" s="18">
        <v>45991</v>
      </c>
      <c r="J171" s="7" t="str">
        <f>VLOOKUP(D171,Droplist!A:C,3,0)</f>
        <v xml:space="preserve">Roberta MacLeod-Stuart </v>
      </c>
      <c r="K171" s="7" t="s">
        <v>193</v>
      </c>
      <c r="L171" s="7" t="s">
        <v>264</v>
      </c>
      <c r="M171" s="7" t="str">
        <f t="shared" si="4"/>
        <v>AWARDED</v>
      </c>
      <c r="N171" s="7"/>
      <c r="O171" s="7">
        <v>64056</v>
      </c>
      <c r="P171" s="7">
        <v>885</v>
      </c>
      <c r="Q171" s="13">
        <f t="shared" si="5"/>
        <v>72.379661016949157</v>
      </c>
      <c r="R171" s="7">
        <v>6636</v>
      </c>
      <c r="S171" s="7">
        <v>550</v>
      </c>
      <c r="T171" s="7">
        <v>123.84899999999999</v>
      </c>
      <c r="U171" s="7">
        <v>34.232999999999997</v>
      </c>
      <c r="V171" s="9"/>
    </row>
    <row r="172" spans="1:22" x14ac:dyDescent="0.25">
      <c r="A172" s="7">
        <v>1284</v>
      </c>
      <c r="B172" s="7">
        <v>2025</v>
      </c>
      <c r="C172" s="7" t="s">
        <v>261</v>
      </c>
      <c r="D172" s="7" t="s">
        <v>48</v>
      </c>
      <c r="E172" s="7" t="s">
        <v>539</v>
      </c>
      <c r="F172" s="7" t="s">
        <v>269</v>
      </c>
      <c r="G172" s="18">
        <v>45835</v>
      </c>
      <c r="H172" s="18">
        <v>45839</v>
      </c>
      <c r="I172" s="18">
        <v>45930</v>
      </c>
      <c r="J172" s="7" t="str">
        <f>VLOOKUP(D172,Droplist!A:C,3,0)</f>
        <v>Jakob Bluhme</v>
      </c>
      <c r="K172" s="7"/>
      <c r="L172" s="7" t="s">
        <v>267</v>
      </c>
      <c r="M172" s="7" t="str">
        <f t="shared" si="4"/>
        <v>NOT AWARDED</v>
      </c>
      <c r="N172" s="7" t="s">
        <v>540</v>
      </c>
      <c r="O172" s="7">
        <v>3554</v>
      </c>
      <c r="P172" s="7">
        <v>24</v>
      </c>
      <c r="Q172" s="13">
        <f t="shared" si="5"/>
        <v>148.08333333333334</v>
      </c>
      <c r="R172" s="7"/>
      <c r="S172" s="7"/>
      <c r="T172" s="7"/>
      <c r="U172" s="7"/>
      <c r="V172" s="9" t="s">
        <v>541</v>
      </c>
    </row>
    <row r="173" spans="1:22" x14ac:dyDescent="0.25">
      <c r="A173" s="7">
        <v>1285</v>
      </c>
      <c r="B173" s="7">
        <v>2025</v>
      </c>
      <c r="C173" s="7" t="s">
        <v>261</v>
      </c>
      <c r="D173" s="7" t="s">
        <v>48</v>
      </c>
      <c r="E173" s="7" t="s">
        <v>542</v>
      </c>
      <c r="F173" s="7" t="s">
        <v>263</v>
      </c>
      <c r="G173" s="18">
        <v>45952</v>
      </c>
      <c r="H173" s="18">
        <v>45962</v>
      </c>
      <c r="I173" s="18">
        <v>46053</v>
      </c>
      <c r="J173" s="7" t="str">
        <f>VLOOKUP(D173,Droplist!A:C,3,0)</f>
        <v>Jakob Bluhme</v>
      </c>
      <c r="K173" s="7" t="s">
        <v>542</v>
      </c>
      <c r="L173" s="7" t="s">
        <v>264</v>
      </c>
      <c r="M173" s="7" t="str">
        <f t="shared" si="4"/>
        <v>MAINTENANCE</v>
      </c>
      <c r="N173" s="7"/>
      <c r="O173" s="7">
        <v>10479</v>
      </c>
      <c r="P173" s="7">
        <v>173</v>
      </c>
      <c r="Q173" s="13">
        <f t="shared" si="5"/>
        <v>60.572254335260112</v>
      </c>
      <c r="R173" s="7">
        <v>710</v>
      </c>
      <c r="S173" s="7">
        <v>60</v>
      </c>
      <c r="T173" s="7">
        <v>353.29699999999974</v>
      </c>
      <c r="U173" s="7">
        <v>27.964000000000002</v>
      </c>
      <c r="V173" s="9"/>
    </row>
    <row r="174" spans="1:22" x14ac:dyDescent="0.25">
      <c r="A174" s="7">
        <v>1286</v>
      </c>
      <c r="B174" s="7">
        <v>2025</v>
      </c>
      <c r="C174" s="7" t="s">
        <v>261</v>
      </c>
      <c r="D174" s="7" t="s">
        <v>101</v>
      </c>
      <c r="E174" s="7" t="s">
        <v>184</v>
      </c>
      <c r="F174" s="7" t="s">
        <v>269</v>
      </c>
      <c r="G174" s="18">
        <v>45932</v>
      </c>
      <c r="H174" s="18">
        <v>45932</v>
      </c>
      <c r="I174" s="18">
        <v>46022</v>
      </c>
      <c r="J174" s="7" t="str">
        <f>VLOOKUP(D174,Droplist!A:C,3,0)</f>
        <v>Jakob Bluhme</v>
      </c>
      <c r="K174" s="7" t="s">
        <v>184</v>
      </c>
      <c r="L174" s="7" t="s">
        <v>264</v>
      </c>
      <c r="M174" s="7" t="str">
        <f t="shared" si="4"/>
        <v>AWARDED</v>
      </c>
      <c r="N174" s="7"/>
      <c r="O174" s="7">
        <v>4224</v>
      </c>
      <c r="P174" s="7">
        <v>230</v>
      </c>
      <c r="Q174" s="13">
        <f t="shared" si="5"/>
        <v>18.365217391304348</v>
      </c>
      <c r="R174" s="7">
        <v>4224</v>
      </c>
      <c r="S174" s="7">
        <v>352</v>
      </c>
      <c r="T174" s="7">
        <v>102.128</v>
      </c>
      <c r="U174" s="7">
        <v>27.459000000000003</v>
      </c>
      <c r="V174" s="9" t="s">
        <v>543</v>
      </c>
    </row>
    <row r="175" spans="1:22" x14ac:dyDescent="0.25">
      <c r="A175" s="7">
        <v>1287</v>
      </c>
      <c r="B175" s="7">
        <v>2025</v>
      </c>
      <c r="C175" s="7" t="s">
        <v>261</v>
      </c>
      <c r="D175" s="7" t="s">
        <v>55</v>
      </c>
      <c r="E175" s="7" t="s">
        <v>516</v>
      </c>
      <c r="F175" s="7" t="s">
        <v>269</v>
      </c>
      <c r="G175" s="18">
        <v>45945</v>
      </c>
      <c r="H175" s="18">
        <v>45962</v>
      </c>
      <c r="I175" s="18">
        <v>46387</v>
      </c>
      <c r="J175" s="7" t="str">
        <f>VLOOKUP(D175,Droplist!A:C,3,0)</f>
        <v>Mette B. Karapetian</v>
      </c>
      <c r="K175" s="7" t="s">
        <v>516</v>
      </c>
      <c r="L175" s="7" t="s">
        <v>264</v>
      </c>
      <c r="M175" s="7" t="str">
        <f t="shared" si="4"/>
        <v>AWARDED</v>
      </c>
      <c r="N175" s="7"/>
      <c r="O175" s="7">
        <v>19000</v>
      </c>
      <c r="P175" s="7">
        <v>477</v>
      </c>
      <c r="Q175" s="13">
        <f t="shared" si="5"/>
        <v>39.832285115303982</v>
      </c>
      <c r="R175" s="7">
        <v>900</v>
      </c>
      <c r="S175" s="7">
        <v>70</v>
      </c>
      <c r="T175" s="7"/>
      <c r="U175" s="7"/>
      <c r="V175" s="9" t="s">
        <v>544</v>
      </c>
    </row>
    <row r="176" spans="1:22" x14ac:dyDescent="0.25">
      <c r="A176" s="7">
        <v>1288</v>
      </c>
      <c r="B176" s="7">
        <v>2025</v>
      </c>
      <c r="C176" s="7" t="s">
        <v>296</v>
      </c>
      <c r="D176" s="7" t="s">
        <v>48</v>
      </c>
      <c r="E176" s="7" t="s">
        <v>545</v>
      </c>
      <c r="F176" s="7" t="s">
        <v>263</v>
      </c>
      <c r="G176" s="18">
        <v>45845</v>
      </c>
      <c r="H176" s="18">
        <v>45931</v>
      </c>
      <c r="I176" s="18">
        <v>46203</v>
      </c>
      <c r="J176" s="7" t="str">
        <f>VLOOKUP(D176,Droplist!A:C,3,0)</f>
        <v>Jakob Bluhme</v>
      </c>
      <c r="K176" s="7" t="s">
        <v>545</v>
      </c>
      <c r="L176" s="7" t="s">
        <v>264</v>
      </c>
      <c r="M176" s="7" t="str">
        <f t="shared" si="4"/>
        <v>PRIME</v>
      </c>
      <c r="N176" s="7"/>
      <c r="O176" s="7">
        <v>52423</v>
      </c>
      <c r="P176" s="7">
        <v>810</v>
      </c>
      <c r="Q176" s="13">
        <f t="shared" si="5"/>
        <v>64.719753086419757</v>
      </c>
      <c r="R176" s="7">
        <v>3205</v>
      </c>
      <c r="S176" s="7">
        <v>267</v>
      </c>
      <c r="T176" s="7">
        <v>2011.414999999997</v>
      </c>
      <c r="U176" s="7">
        <v>832.8180000000001</v>
      </c>
      <c r="V176" s="9" t="s">
        <v>546</v>
      </c>
    </row>
    <row r="177" spans="1:22" x14ac:dyDescent="0.25">
      <c r="A177" s="7">
        <v>1289</v>
      </c>
      <c r="B177" s="7">
        <v>2025</v>
      </c>
      <c r="C177" s="7" t="s">
        <v>296</v>
      </c>
      <c r="D177" s="7" t="s">
        <v>48</v>
      </c>
      <c r="E177" s="7" t="s">
        <v>547</v>
      </c>
      <c r="F177" s="7" t="s">
        <v>307</v>
      </c>
      <c r="G177" s="18">
        <v>45931</v>
      </c>
      <c r="H177" s="18">
        <v>45931</v>
      </c>
      <c r="I177" s="18">
        <v>46022</v>
      </c>
      <c r="J177" s="7" t="str">
        <f>VLOOKUP(D177,Droplist!A:C,3,0)</f>
        <v>Jakob Bluhme</v>
      </c>
      <c r="K177" s="7" t="s">
        <v>547</v>
      </c>
      <c r="L177" s="7" t="s">
        <v>264</v>
      </c>
      <c r="M177" s="7" t="str">
        <f t="shared" si="4"/>
        <v>AWARDED</v>
      </c>
      <c r="N177" s="7"/>
      <c r="O177" s="7">
        <v>1684</v>
      </c>
      <c r="P177" s="7">
        <v>42</v>
      </c>
      <c r="Q177" s="13">
        <f t="shared" si="5"/>
        <v>40.095238095238095</v>
      </c>
      <c r="R177" s="7">
        <v>0</v>
      </c>
      <c r="S177" s="7" t="s">
        <v>265</v>
      </c>
      <c r="T177" s="7"/>
      <c r="U177" s="7"/>
      <c r="V177" s="9" t="s">
        <v>548</v>
      </c>
    </row>
    <row r="178" spans="1:22" ht="23.25" x14ac:dyDescent="0.25">
      <c r="A178" s="7">
        <v>1290</v>
      </c>
      <c r="B178" s="7">
        <v>2025</v>
      </c>
      <c r="C178" s="7" t="s">
        <v>261</v>
      </c>
      <c r="D178" s="7" t="s">
        <v>101</v>
      </c>
      <c r="E178" s="7" t="s">
        <v>288</v>
      </c>
      <c r="F178" s="7" t="s">
        <v>269</v>
      </c>
      <c r="G178" s="18">
        <v>45852</v>
      </c>
      <c r="H178" s="18">
        <v>45852</v>
      </c>
      <c r="I178" s="18">
        <v>45930</v>
      </c>
      <c r="J178" s="7" t="str">
        <f>VLOOKUP(D178,Droplist!A:C,3,0)</f>
        <v>Jakob Bluhme</v>
      </c>
      <c r="K178" s="7"/>
      <c r="L178" s="7" t="s">
        <v>267</v>
      </c>
      <c r="M178" s="7" t="str">
        <f t="shared" si="4"/>
        <v>NOT AWARDED</v>
      </c>
      <c r="N178" s="7" t="s">
        <v>354</v>
      </c>
      <c r="O178" s="7">
        <v>42981</v>
      </c>
      <c r="P178" s="7">
        <v>200</v>
      </c>
      <c r="Q178" s="13">
        <f t="shared" si="5"/>
        <v>214.905</v>
      </c>
      <c r="R178" s="7"/>
      <c r="S178" s="7"/>
      <c r="T178" s="7"/>
      <c r="U178" s="7"/>
      <c r="V178" s="9" t="s">
        <v>549</v>
      </c>
    </row>
    <row r="179" spans="1:22" x14ac:dyDescent="0.25">
      <c r="A179" s="7">
        <v>1291</v>
      </c>
      <c r="B179" s="7">
        <v>2025</v>
      </c>
      <c r="C179" s="7" t="s">
        <v>261</v>
      </c>
      <c r="D179" s="7" t="s">
        <v>48</v>
      </c>
      <c r="E179" s="7" t="s">
        <v>550</v>
      </c>
      <c r="F179" s="7" t="s">
        <v>269</v>
      </c>
      <c r="G179" s="18">
        <v>45952</v>
      </c>
      <c r="H179" s="18">
        <v>45962</v>
      </c>
      <c r="I179" s="18">
        <v>46053</v>
      </c>
      <c r="J179" s="7" t="str">
        <f>VLOOKUP(D179,Droplist!A:C,3,0)</f>
        <v>Jakob Bluhme</v>
      </c>
      <c r="K179" s="7" t="s">
        <v>550</v>
      </c>
      <c r="L179" s="7" t="s">
        <v>264</v>
      </c>
      <c r="M179" s="7" t="str">
        <f t="shared" si="4"/>
        <v>AWARDED</v>
      </c>
      <c r="N179" s="7"/>
      <c r="O179" s="7">
        <v>9155</v>
      </c>
      <c r="P179" s="7">
        <v>162</v>
      </c>
      <c r="Q179" s="13">
        <f t="shared" si="5"/>
        <v>56.512345679012348</v>
      </c>
      <c r="R179" s="7">
        <v>720</v>
      </c>
      <c r="S179" s="7">
        <v>70</v>
      </c>
      <c r="T179" s="7"/>
      <c r="U179" s="7"/>
      <c r="V179" s="9" t="s">
        <v>551</v>
      </c>
    </row>
    <row r="180" spans="1:22" ht="23.25" x14ac:dyDescent="0.25">
      <c r="A180" s="7">
        <v>1292</v>
      </c>
      <c r="B180" s="7">
        <v>2025</v>
      </c>
      <c r="C180" s="7" t="s">
        <v>296</v>
      </c>
      <c r="D180" s="7" t="s">
        <v>48</v>
      </c>
      <c r="E180" s="7" t="s">
        <v>552</v>
      </c>
      <c r="F180" s="7" t="s">
        <v>269</v>
      </c>
      <c r="G180" s="18"/>
      <c r="H180" s="18">
        <v>45979</v>
      </c>
      <c r="I180" s="18">
        <v>46022</v>
      </c>
      <c r="J180" s="7" t="str">
        <f>VLOOKUP(D180,Droplist!A:C,3,0)</f>
        <v>Jakob Bluhme</v>
      </c>
      <c r="K180" s="7"/>
      <c r="L180" s="7" t="s">
        <v>267</v>
      </c>
      <c r="M180" s="7" t="str">
        <f t="shared" si="4"/>
        <v>NOT AWARDED</v>
      </c>
      <c r="N180" s="7" t="s">
        <v>553</v>
      </c>
      <c r="O180" s="7">
        <v>4715</v>
      </c>
      <c r="P180" s="7">
        <v>80</v>
      </c>
      <c r="Q180" s="13">
        <f t="shared" si="5"/>
        <v>58.9375</v>
      </c>
      <c r="R180" s="7">
        <v>915</v>
      </c>
      <c r="S180" s="7"/>
      <c r="T180" s="7"/>
      <c r="U180" s="7">
        <v>1.8720000000000001</v>
      </c>
      <c r="V180" s="9" t="s">
        <v>554</v>
      </c>
    </row>
    <row r="181" spans="1:22" x14ac:dyDescent="0.25">
      <c r="A181" s="7">
        <v>1293</v>
      </c>
      <c r="B181" s="7">
        <v>2025</v>
      </c>
      <c r="C181" s="7" t="s">
        <v>261</v>
      </c>
      <c r="D181" s="7" t="s">
        <v>48</v>
      </c>
      <c r="E181" s="7" t="s">
        <v>194</v>
      </c>
      <c r="F181" s="7" t="s">
        <v>269</v>
      </c>
      <c r="G181" s="18">
        <v>45847</v>
      </c>
      <c r="H181" s="18">
        <v>45847</v>
      </c>
      <c r="I181" s="18">
        <v>46022</v>
      </c>
      <c r="J181" s="7" t="str">
        <f>VLOOKUP(D181,Droplist!A:C,3,0)</f>
        <v>Jakob Bluhme</v>
      </c>
      <c r="K181" s="7" t="s">
        <v>194</v>
      </c>
      <c r="L181" s="7" t="s">
        <v>277</v>
      </c>
      <c r="M181" s="7" t="str">
        <f t="shared" si="4"/>
        <v>AWARDED/EXPIRED</v>
      </c>
      <c r="N181" s="7"/>
      <c r="O181" s="7">
        <v>611</v>
      </c>
      <c r="P181" s="7">
        <v>31</v>
      </c>
      <c r="Q181" s="13">
        <f t="shared" si="5"/>
        <v>19.70967741935484</v>
      </c>
      <c r="R181" s="7">
        <v>611</v>
      </c>
      <c r="S181" s="7">
        <v>50</v>
      </c>
      <c r="T181" s="7">
        <v>11.859000000000002</v>
      </c>
      <c r="U181" s="7"/>
      <c r="V181" s="9"/>
    </row>
    <row r="182" spans="1:22" ht="23.25" x14ac:dyDescent="0.25">
      <c r="A182" s="7">
        <v>1294</v>
      </c>
      <c r="B182" s="7">
        <v>2025</v>
      </c>
      <c r="C182" s="7" t="s">
        <v>261</v>
      </c>
      <c r="D182" s="7" t="s">
        <v>84</v>
      </c>
      <c r="E182" s="7" t="s">
        <v>238</v>
      </c>
      <c r="F182" s="7" t="s">
        <v>269</v>
      </c>
      <c r="G182" s="18">
        <v>45898</v>
      </c>
      <c r="H182" s="18">
        <v>45901</v>
      </c>
      <c r="I182" s="18">
        <v>46022</v>
      </c>
      <c r="J182" s="7" t="str">
        <f>VLOOKUP(D182,Droplist!A:C,3,0)</f>
        <v>Martin Schulz</v>
      </c>
      <c r="K182" s="7" t="s">
        <v>329</v>
      </c>
      <c r="L182" s="7" t="s">
        <v>264</v>
      </c>
      <c r="M182" s="7" t="str">
        <f t="shared" si="4"/>
        <v>PRIME</v>
      </c>
      <c r="N182" s="7" t="s">
        <v>298</v>
      </c>
      <c r="O182" s="7">
        <v>1500</v>
      </c>
      <c r="P182" s="7">
        <v>669</v>
      </c>
      <c r="Q182" s="13">
        <f t="shared" si="5"/>
        <v>2.2421524663677128</v>
      </c>
      <c r="R182" s="7" t="s">
        <v>280</v>
      </c>
      <c r="S182" s="7" t="s">
        <v>280</v>
      </c>
      <c r="T182" s="7">
        <v>1501.08</v>
      </c>
      <c r="U182" s="7">
        <v>172.65500000000003</v>
      </c>
      <c r="V182" s="9" t="s">
        <v>555</v>
      </c>
    </row>
    <row r="183" spans="1:22" ht="23.25" x14ac:dyDescent="0.25">
      <c r="A183" s="7">
        <v>1295</v>
      </c>
      <c r="B183" s="7">
        <v>2025</v>
      </c>
      <c r="C183" s="7" t="s">
        <v>261</v>
      </c>
      <c r="D183" s="7" t="s">
        <v>45</v>
      </c>
      <c r="E183" s="7" t="s">
        <v>556</v>
      </c>
      <c r="F183" s="7" t="s">
        <v>269</v>
      </c>
      <c r="G183" s="18">
        <v>45972</v>
      </c>
      <c r="H183" s="18">
        <v>45972</v>
      </c>
      <c r="I183" s="18">
        <v>46112</v>
      </c>
      <c r="J183" s="7" t="str">
        <f>VLOOKUP(D183,Droplist!A:C,3,0)</f>
        <v>Dennis Frankowski</v>
      </c>
      <c r="K183" s="7"/>
      <c r="L183" s="7" t="s">
        <v>267</v>
      </c>
      <c r="M183" s="7" t="str">
        <f t="shared" si="4"/>
        <v>NOT AWARDED</v>
      </c>
      <c r="N183" s="7" t="s">
        <v>354</v>
      </c>
      <c r="O183" s="7">
        <v>2568</v>
      </c>
      <c r="P183" s="7">
        <v>26</v>
      </c>
      <c r="Q183" s="13">
        <f t="shared" si="5"/>
        <v>98.769230769230774</v>
      </c>
      <c r="R183" s="7"/>
      <c r="S183" s="7"/>
      <c r="T183" s="7"/>
      <c r="U183" s="7"/>
      <c r="V183" s="9" t="s">
        <v>557</v>
      </c>
    </row>
    <row r="184" spans="1:22" x14ac:dyDescent="0.25">
      <c r="A184" s="7">
        <v>1296</v>
      </c>
      <c r="B184" s="7">
        <v>2025</v>
      </c>
      <c r="C184" s="7" t="s">
        <v>261</v>
      </c>
      <c r="D184" s="7" t="s">
        <v>55</v>
      </c>
      <c r="E184" s="7" t="s">
        <v>457</v>
      </c>
      <c r="F184" s="7" t="s">
        <v>269</v>
      </c>
      <c r="G184" s="18">
        <v>45860</v>
      </c>
      <c r="H184" s="18">
        <v>45901</v>
      </c>
      <c r="I184" s="18">
        <v>46203</v>
      </c>
      <c r="J184" s="7" t="str">
        <f>VLOOKUP(D184,Droplist!A:C,3,0)</f>
        <v>Mette B. Karapetian</v>
      </c>
      <c r="K184" s="7"/>
      <c r="L184" s="7" t="s">
        <v>267</v>
      </c>
      <c r="M184" s="7" t="str">
        <f t="shared" si="4"/>
        <v>NOT AWARDED</v>
      </c>
      <c r="N184" s="7" t="s">
        <v>354</v>
      </c>
      <c r="O184" s="7">
        <v>3041.22</v>
      </c>
      <c r="P184" s="7">
        <v>30</v>
      </c>
      <c r="Q184" s="13">
        <f t="shared" si="5"/>
        <v>101.374</v>
      </c>
      <c r="R184" s="7"/>
      <c r="S184" s="7"/>
      <c r="T184" s="7"/>
      <c r="U184" s="7"/>
      <c r="V184" s="9" t="s">
        <v>558</v>
      </c>
    </row>
    <row r="185" spans="1:22" ht="34.5" x14ac:dyDescent="0.25">
      <c r="A185" s="7">
        <v>1297</v>
      </c>
      <c r="B185" s="7">
        <v>2025</v>
      </c>
      <c r="C185" s="7" t="s">
        <v>261</v>
      </c>
      <c r="D185" s="7" t="s">
        <v>407</v>
      </c>
      <c r="E185" s="7" t="s">
        <v>516</v>
      </c>
      <c r="F185" s="7" t="s">
        <v>269</v>
      </c>
      <c r="G185" s="18">
        <v>45842</v>
      </c>
      <c r="H185" s="18">
        <v>45870</v>
      </c>
      <c r="I185" s="18">
        <v>46234</v>
      </c>
      <c r="J185" s="7" t="str">
        <f>VLOOKUP(D185,Droplist!A:C,3,0)</f>
        <v xml:space="preserve">Roberta MacLeod-Stuart </v>
      </c>
      <c r="K185" s="7"/>
      <c r="L185" s="7" t="s">
        <v>267</v>
      </c>
      <c r="M185" s="7" t="str">
        <f t="shared" si="4"/>
        <v>NOT AWARDED</v>
      </c>
      <c r="N185" s="7" t="s">
        <v>559</v>
      </c>
      <c r="O185" s="7">
        <v>19621</v>
      </c>
      <c r="P185" s="7">
        <v>477</v>
      </c>
      <c r="Q185" s="13">
        <f t="shared" si="5"/>
        <v>41.134171907756816</v>
      </c>
      <c r="R185" s="7"/>
      <c r="S185" s="7"/>
      <c r="T185" s="7"/>
      <c r="U185" s="7"/>
      <c r="V185" s="9" t="s">
        <v>560</v>
      </c>
    </row>
    <row r="186" spans="1:22" x14ac:dyDescent="0.25">
      <c r="A186" s="7">
        <v>1298</v>
      </c>
      <c r="B186" s="7">
        <v>2025</v>
      </c>
      <c r="C186" s="7" t="s">
        <v>296</v>
      </c>
      <c r="D186" s="7" t="s">
        <v>48</v>
      </c>
      <c r="E186" s="7" t="s">
        <v>561</v>
      </c>
      <c r="F186" s="7" t="s">
        <v>269</v>
      </c>
      <c r="G186" s="18">
        <v>45855</v>
      </c>
      <c r="H186" s="18">
        <v>45839</v>
      </c>
      <c r="I186" s="18">
        <v>45960</v>
      </c>
      <c r="J186" s="7" t="str">
        <f>VLOOKUP(D186,Droplist!A:C,3,0)</f>
        <v>Jakob Bluhme</v>
      </c>
      <c r="K186" s="7" t="s">
        <v>561</v>
      </c>
      <c r="L186" s="7" t="s">
        <v>264</v>
      </c>
      <c r="M186" s="7" t="str">
        <f t="shared" si="4"/>
        <v>AWARDED</v>
      </c>
      <c r="N186" s="7"/>
      <c r="O186" s="7">
        <v>1131</v>
      </c>
      <c r="P186" s="7">
        <v>64</v>
      </c>
      <c r="Q186" s="13">
        <f t="shared" si="5"/>
        <v>17.671875</v>
      </c>
      <c r="R186" s="7">
        <v>155</v>
      </c>
      <c r="S186" s="7" t="s">
        <v>265</v>
      </c>
      <c r="T186" s="7"/>
      <c r="U186" s="7"/>
      <c r="V186" s="9" t="s">
        <v>562</v>
      </c>
    </row>
    <row r="187" spans="1:22" x14ac:dyDescent="0.25">
      <c r="A187" s="7">
        <v>1299</v>
      </c>
      <c r="B187" s="7">
        <v>2025</v>
      </c>
      <c r="C187" s="7" t="s">
        <v>261</v>
      </c>
      <c r="D187" s="7" t="s">
        <v>80</v>
      </c>
      <c r="E187" s="7" t="s">
        <v>428</v>
      </c>
      <c r="F187" s="7" t="s">
        <v>269</v>
      </c>
      <c r="G187" s="18">
        <v>45862</v>
      </c>
      <c r="H187" s="18">
        <v>45870</v>
      </c>
      <c r="I187" s="18">
        <v>46053</v>
      </c>
      <c r="J187" s="7" t="str">
        <f>VLOOKUP(D187,Droplist!A:C,3,0)</f>
        <v>Jens Pottschul</v>
      </c>
      <c r="K187" s="7"/>
      <c r="L187" s="7" t="s">
        <v>267</v>
      </c>
      <c r="M187" s="7" t="str">
        <f t="shared" si="4"/>
        <v>NOT AWARDED</v>
      </c>
      <c r="N187" s="7" t="s">
        <v>563</v>
      </c>
      <c r="O187" s="7">
        <v>3000</v>
      </c>
      <c r="P187" s="7">
        <v>314</v>
      </c>
      <c r="Q187" s="13">
        <f t="shared" si="5"/>
        <v>9.5541401273885356</v>
      </c>
      <c r="R187" s="7"/>
      <c r="S187" s="7"/>
      <c r="T187" s="7">
        <v>42.022999999999989</v>
      </c>
      <c r="U187" s="7"/>
      <c r="V187" s="9"/>
    </row>
    <row r="188" spans="1:22" ht="23.25" x14ac:dyDescent="0.25">
      <c r="A188" s="7">
        <v>1300</v>
      </c>
      <c r="B188" s="7">
        <v>2025</v>
      </c>
      <c r="C188" s="7" t="s">
        <v>564</v>
      </c>
      <c r="D188" s="7" t="s">
        <v>75</v>
      </c>
      <c r="E188" s="7" t="s">
        <v>439</v>
      </c>
      <c r="F188" s="7" t="s">
        <v>269</v>
      </c>
      <c r="G188" s="18"/>
      <c r="H188" s="18">
        <v>45839</v>
      </c>
      <c r="I188" s="18">
        <v>45930</v>
      </c>
      <c r="J188" s="7" t="str">
        <f>VLOOKUP(D188,Droplist!A:C,3,0)</f>
        <v>Martin Schulz</v>
      </c>
      <c r="K188" s="7"/>
      <c r="L188" s="7" t="s">
        <v>267</v>
      </c>
      <c r="M188" s="7" t="str">
        <f t="shared" si="4"/>
        <v>NOT AWARDED</v>
      </c>
      <c r="N188" s="7" t="s">
        <v>565</v>
      </c>
      <c r="O188" s="7">
        <v>1800</v>
      </c>
      <c r="P188" s="7">
        <v>28</v>
      </c>
      <c r="Q188" s="13">
        <f t="shared" si="5"/>
        <v>64.285714285714292</v>
      </c>
      <c r="R188" s="7"/>
      <c r="S188" s="7"/>
      <c r="T188" s="7"/>
      <c r="U188" s="7"/>
      <c r="V188" s="9" t="s">
        <v>566</v>
      </c>
    </row>
    <row r="189" spans="1:22" x14ac:dyDescent="0.25">
      <c r="A189" s="7">
        <v>1301</v>
      </c>
      <c r="B189" s="7">
        <v>2025</v>
      </c>
      <c r="C189" s="7" t="s">
        <v>564</v>
      </c>
      <c r="D189" s="7" t="s">
        <v>567</v>
      </c>
      <c r="E189" s="7" t="s">
        <v>180</v>
      </c>
      <c r="F189" s="7" t="s">
        <v>269</v>
      </c>
      <c r="G189" s="18">
        <v>45929</v>
      </c>
      <c r="H189" s="18">
        <v>45931</v>
      </c>
      <c r="I189" s="18">
        <v>46022</v>
      </c>
      <c r="J189" s="7" t="str">
        <f>VLOOKUP(D189,Droplist!A:C,3,0)</f>
        <v>Susanne Elsborg-Jensen</v>
      </c>
      <c r="K189" s="7" t="s">
        <v>568</v>
      </c>
      <c r="L189" s="7" t="s">
        <v>264</v>
      </c>
      <c r="M189" s="7" t="str">
        <f t="shared" si="4"/>
        <v>AWARDED</v>
      </c>
      <c r="N189" s="7"/>
      <c r="O189" s="7">
        <v>1554</v>
      </c>
      <c r="P189" s="7">
        <v>105</v>
      </c>
      <c r="Q189" s="13">
        <f t="shared" si="5"/>
        <v>14.8</v>
      </c>
      <c r="R189" s="7">
        <v>480</v>
      </c>
      <c r="S189" s="7">
        <v>40</v>
      </c>
      <c r="T189" s="7">
        <v>23.242000000000001</v>
      </c>
      <c r="U189" s="7"/>
      <c r="V189" s="9"/>
    </row>
    <row r="190" spans="1:22" ht="23.25" x14ac:dyDescent="0.25">
      <c r="A190" s="7">
        <v>1302</v>
      </c>
      <c r="B190" s="7">
        <v>2025</v>
      </c>
      <c r="C190" s="7" t="s">
        <v>564</v>
      </c>
      <c r="D190" s="7" t="s">
        <v>105</v>
      </c>
      <c r="E190" s="7" t="s">
        <v>569</v>
      </c>
      <c r="F190" s="7" t="s">
        <v>269</v>
      </c>
      <c r="G190" s="18"/>
      <c r="H190" s="18">
        <v>45809</v>
      </c>
      <c r="I190" s="18">
        <v>45869</v>
      </c>
      <c r="J190" s="7" t="str">
        <f>VLOOKUP(D190,Droplist!A:C,3,0)</f>
        <v>Susanne Elsborg-Jensen</v>
      </c>
      <c r="K190" s="7"/>
      <c r="L190" s="7" t="s">
        <v>267</v>
      </c>
      <c r="M190" s="7" t="str">
        <f t="shared" si="4"/>
        <v>NOT AWARDED</v>
      </c>
      <c r="N190" s="7" t="s">
        <v>268</v>
      </c>
      <c r="O190" s="7">
        <v>10000</v>
      </c>
      <c r="P190" s="7">
        <v>375</v>
      </c>
      <c r="Q190" s="13">
        <f t="shared" si="5"/>
        <v>26.666666666666668</v>
      </c>
      <c r="R190" s="7"/>
      <c r="S190" s="7"/>
      <c r="T190" s="7"/>
      <c r="U190" s="7"/>
      <c r="V190" s="9" t="s">
        <v>570</v>
      </c>
    </row>
    <row r="191" spans="1:22" ht="23.25" x14ac:dyDescent="0.25">
      <c r="A191" s="7">
        <v>1303</v>
      </c>
      <c r="B191" s="7">
        <v>2025</v>
      </c>
      <c r="C191" s="7" t="s">
        <v>296</v>
      </c>
      <c r="D191" s="7" t="s">
        <v>407</v>
      </c>
      <c r="E191" s="7" t="s">
        <v>571</v>
      </c>
      <c r="F191" s="7" t="s">
        <v>572</v>
      </c>
      <c r="G191" s="18"/>
      <c r="H191" s="18"/>
      <c r="I191" s="18">
        <v>46142</v>
      </c>
      <c r="J191" s="7" t="str">
        <f>VLOOKUP(D191,Droplist!A:C,3,0)</f>
        <v xml:space="preserve">Roberta MacLeod-Stuart </v>
      </c>
      <c r="K191" s="7" t="s">
        <v>571</v>
      </c>
      <c r="L191" s="7" t="s">
        <v>264</v>
      </c>
      <c r="M191" s="7" t="str">
        <f t="shared" si="4"/>
        <v>PRIME</v>
      </c>
      <c r="N191" s="7"/>
      <c r="O191" s="7" t="s">
        <v>369</v>
      </c>
      <c r="P191" s="7" t="s">
        <v>265</v>
      </c>
      <c r="Q191" s="13" t="e">
        <f t="shared" si="5"/>
        <v>#VALUE!</v>
      </c>
      <c r="R191" s="7" t="s">
        <v>265</v>
      </c>
      <c r="S191" s="7" t="s">
        <v>265</v>
      </c>
      <c r="T191" s="7">
        <v>1734.1759999999981</v>
      </c>
      <c r="U191" s="7">
        <v>194.10200000000006</v>
      </c>
      <c r="V191" s="9" t="s">
        <v>573</v>
      </c>
    </row>
    <row r="192" spans="1:22" x14ac:dyDescent="0.25">
      <c r="A192" s="7">
        <v>1304</v>
      </c>
      <c r="B192" s="7">
        <v>2025</v>
      </c>
      <c r="C192" s="7" t="s">
        <v>261</v>
      </c>
      <c r="D192" s="7" t="s">
        <v>25</v>
      </c>
      <c r="E192" s="7" t="s">
        <v>490</v>
      </c>
      <c r="F192" s="7" t="s">
        <v>269</v>
      </c>
      <c r="G192" s="18">
        <v>45917</v>
      </c>
      <c r="H192" s="18">
        <v>45931</v>
      </c>
      <c r="I192" s="18">
        <v>46022</v>
      </c>
      <c r="J192" s="7" t="str">
        <f>VLOOKUP(D192,Droplist!A:C,3,0)</f>
        <v>Peter Andersen</v>
      </c>
      <c r="K192" s="7" t="s">
        <v>490</v>
      </c>
      <c r="L192" s="7" t="s">
        <v>264</v>
      </c>
      <c r="M192" s="7" t="str">
        <f t="shared" si="4"/>
        <v>AWARDED</v>
      </c>
      <c r="N192" s="7"/>
      <c r="O192" s="7">
        <v>3050</v>
      </c>
      <c r="P192" s="7">
        <v>64</v>
      </c>
      <c r="Q192" s="13">
        <f t="shared" si="5"/>
        <v>47.65625</v>
      </c>
      <c r="R192" s="7">
        <v>3050</v>
      </c>
      <c r="S192" s="7">
        <v>254</v>
      </c>
      <c r="T192" s="7">
        <v>6.6789999999999994</v>
      </c>
      <c r="U192" s="7">
        <v>23.37</v>
      </c>
      <c r="V192" s="9"/>
    </row>
    <row r="193" spans="1:22" x14ac:dyDescent="0.25">
      <c r="A193" s="7">
        <v>1305</v>
      </c>
      <c r="B193" s="7">
        <v>2025</v>
      </c>
      <c r="C193" s="7" t="s">
        <v>261</v>
      </c>
      <c r="D193" s="7" t="s">
        <v>48</v>
      </c>
      <c r="E193" s="7" t="s">
        <v>193</v>
      </c>
      <c r="F193" s="7" t="s">
        <v>269</v>
      </c>
      <c r="G193" s="18">
        <v>45952</v>
      </c>
      <c r="H193" s="18">
        <v>45962</v>
      </c>
      <c r="I193" s="18">
        <v>46053</v>
      </c>
      <c r="J193" s="7" t="str">
        <f>VLOOKUP(D193,Droplist!A:C,3,0)</f>
        <v>Jakob Bluhme</v>
      </c>
      <c r="K193" s="7" t="s">
        <v>193</v>
      </c>
      <c r="L193" s="7" t="s">
        <v>264</v>
      </c>
      <c r="M193" s="7" t="str">
        <f t="shared" si="4"/>
        <v>AWARDED</v>
      </c>
      <c r="N193" s="7"/>
      <c r="O193" s="7">
        <v>5483</v>
      </c>
      <c r="P193" s="7">
        <v>65</v>
      </c>
      <c r="Q193" s="13">
        <f t="shared" si="5"/>
        <v>84.353846153846149</v>
      </c>
      <c r="R193" s="7" t="s">
        <v>265</v>
      </c>
      <c r="S193" s="7" t="s">
        <v>265</v>
      </c>
      <c r="T193" s="7"/>
      <c r="U193" s="7"/>
      <c r="V193" s="9"/>
    </row>
    <row r="194" spans="1:22" x14ac:dyDescent="0.25">
      <c r="A194" s="7">
        <v>1306</v>
      </c>
      <c r="B194" s="7">
        <v>2025</v>
      </c>
      <c r="C194" s="7" t="s">
        <v>261</v>
      </c>
      <c r="D194" s="7" t="s">
        <v>48</v>
      </c>
      <c r="E194" s="7" t="s">
        <v>196</v>
      </c>
      <c r="F194" s="7" t="s">
        <v>269</v>
      </c>
      <c r="G194" s="18">
        <v>45919</v>
      </c>
      <c r="H194" s="18">
        <v>45919</v>
      </c>
      <c r="I194" s="18">
        <v>46053</v>
      </c>
      <c r="J194" s="7" t="str">
        <f>VLOOKUP(D194,Droplist!A:C,3,0)</f>
        <v>Jakob Bluhme</v>
      </c>
      <c r="K194" s="7" t="s">
        <v>196</v>
      </c>
      <c r="L194" s="7" t="s">
        <v>264</v>
      </c>
      <c r="M194" s="7" t="str">
        <f t="shared" ref="M194:M257" si="6">IF(L194&lt;&gt;"AWARDED",L194,IF(NOT(ISNUMBER(T194)),L194,IF(T194&gt;=700,"PRIME",IF(T194&gt;=250,"MAINTENANCE",L194))))</f>
        <v>AWARDED</v>
      </c>
      <c r="N194" s="7"/>
      <c r="O194" s="7">
        <v>7966</v>
      </c>
      <c r="P194" s="7">
        <v>660</v>
      </c>
      <c r="Q194" s="13">
        <f t="shared" si="5"/>
        <v>12.06969696969697</v>
      </c>
      <c r="R194" s="7">
        <v>1689</v>
      </c>
      <c r="S194" s="7">
        <v>140</v>
      </c>
      <c r="T194" s="7">
        <v>12.62</v>
      </c>
      <c r="U194" s="7">
        <v>5.3950000000000005</v>
      </c>
      <c r="V194" s="9" t="s">
        <v>574</v>
      </c>
    </row>
    <row r="195" spans="1:22" x14ac:dyDescent="0.25">
      <c r="A195" s="7">
        <v>1307</v>
      </c>
      <c r="B195" s="7">
        <v>2025</v>
      </c>
      <c r="C195" s="7" t="s">
        <v>261</v>
      </c>
      <c r="D195" s="7" t="s">
        <v>55</v>
      </c>
      <c r="E195" s="7" t="s">
        <v>353</v>
      </c>
      <c r="F195" s="7" t="s">
        <v>269</v>
      </c>
      <c r="G195" s="18">
        <v>45881</v>
      </c>
      <c r="H195" s="18">
        <v>45887</v>
      </c>
      <c r="I195" s="18">
        <v>46251</v>
      </c>
      <c r="J195" s="7" t="str">
        <f>VLOOKUP(D195,Droplist!A:C,3,0)</f>
        <v>Mette B. Karapetian</v>
      </c>
      <c r="K195" s="7"/>
      <c r="L195" s="7" t="s">
        <v>267</v>
      </c>
      <c r="M195" s="7" t="str">
        <f t="shared" si="6"/>
        <v>NOT AWARDED</v>
      </c>
      <c r="N195" s="7" t="s">
        <v>354</v>
      </c>
      <c r="O195" s="7">
        <v>50000</v>
      </c>
      <c r="P195" s="7">
        <v>213</v>
      </c>
      <c r="Q195" s="13">
        <f t="shared" ref="Q195:Q258" si="7">O195/P195</f>
        <v>234.74178403755869</v>
      </c>
      <c r="R195" s="7"/>
      <c r="S195" s="7"/>
      <c r="T195" s="7"/>
      <c r="U195" s="7"/>
      <c r="V195" s="9" t="s">
        <v>558</v>
      </c>
    </row>
    <row r="196" spans="1:22" ht="34.5" x14ac:dyDescent="0.25">
      <c r="A196" s="7">
        <v>1308</v>
      </c>
      <c r="B196" s="7">
        <v>2025</v>
      </c>
      <c r="C196" s="7" t="s">
        <v>261</v>
      </c>
      <c r="D196" s="7" t="s">
        <v>55</v>
      </c>
      <c r="E196" s="7" t="s">
        <v>239</v>
      </c>
      <c r="F196" s="7" t="s">
        <v>269</v>
      </c>
      <c r="G196" s="18">
        <v>45861</v>
      </c>
      <c r="H196" s="18">
        <v>45861</v>
      </c>
      <c r="I196" s="18">
        <v>46022</v>
      </c>
      <c r="J196" s="7" t="str">
        <f>VLOOKUP(D196,Droplist!A:C,3,0)</f>
        <v>Mette B. Karapetian</v>
      </c>
      <c r="K196" s="7"/>
      <c r="L196" s="7" t="s">
        <v>267</v>
      </c>
      <c r="M196" s="7" t="str">
        <f t="shared" si="6"/>
        <v>NOT AWARDED</v>
      </c>
      <c r="N196" s="7" t="s">
        <v>268</v>
      </c>
      <c r="O196" s="7">
        <v>11084</v>
      </c>
      <c r="P196" s="7">
        <v>348</v>
      </c>
      <c r="Q196" s="13">
        <f t="shared" si="7"/>
        <v>31.850574712643677</v>
      </c>
      <c r="R196" s="7"/>
      <c r="S196" s="7"/>
      <c r="T196" s="7"/>
      <c r="U196" s="7"/>
      <c r="V196" s="9" t="s">
        <v>575</v>
      </c>
    </row>
    <row r="197" spans="1:22" x14ac:dyDescent="0.25">
      <c r="A197" s="7">
        <v>1309</v>
      </c>
      <c r="B197" s="7">
        <v>2025</v>
      </c>
      <c r="C197" s="7" t="s">
        <v>261</v>
      </c>
      <c r="D197" s="7" t="s">
        <v>229</v>
      </c>
      <c r="E197" s="7" t="s">
        <v>368</v>
      </c>
      <c r="F197" s="7" t="s">
        <v>269</v>
      </c>
      <c r="G197" s="18">
        <v>45867</v>
      </c>
      <c r="H197" s="18">
        <v>45870</v>
      </c>
      <c r="I197" s="18">
        <v>46022</v>
      </c>
      <c r="J197" s="7" t="e">
        <f>VLOOKUP(D197,Droplist!A:C,3,0)</f>
        <v>#N/A</v>
      </c>
      <c r="K197" s="7" t="s">
        <v>576</v>
      </c>
      <c r="L197" s="7" t="s">
        <v>264</v>
      </c>
      <c r="M197" s="7" t="str">
        <f t="shared" si="6"/>
        <v>AWARDED</v>
      </c>
      <c r="N197" s="7"/>
      <c r="O197" s="7">
        <v>7092</v>
      </c>
      <c r="P197" s="7">
        <v>520</v>
      </c>
      <c r="Q197" s="13">
        <f t="shared" si="7"/>
        <v>13.638461538461538</v>
      </c>
      <c r="R197" s="7">
        <v>3546</v>
      </c>
      <c r="S197" s="7">
        <v>296</v>
      </c>
      <c r="T197" s="7"/>
      <c r="U197" s="7">
        <v>192.643</v>
      </c>
      <c r="V197" s="9" t="s">
        <v>577</v>
      </c>
    </row>
    <row r="198" spans="1:22" ht="23.25" x14ac:dyDescent="0.25">
      <c r="A198" s="7">
        <v>1310</v>
      </c>
      <c r="B198" s="7">
        <v>2025</v>
      </c>
      <c r="C198" s="7" t="s">
        <v>261</v>
      </c>
      <c r="D198" s="7" t="s">
        <v>382</v>
      </c>
      <c r="E198" s="7" t="s">
        <v>578</v>
      </c>
      <c r="F198" s="7" t="s">
        <v>269</v>
      </c>
      <c r="G198" s="18">
        <v>45863</v>
      </c>
      <c r="H198" s="18">
        <v>45863</v>
      </c>
      <c r="I198" s="18">
        <v>45961</v>
      </c>
      <c r="J198" s="7" t="str">
        <f>VLOOKUP(D198,Droplist!A:C,3,0)</f>
        <v>Chris Crowder</v>
      </c>
      <c r="K198" s="7"/>
      <c r="L198" s="7" t="s">
        <v>267</v>
      </c>
      <c r="M198" s="7" t="str">
        <f t="shared" si="6"/>
        <v>NOT AWARDED</v>
      </c>
      <c r="N198" s="7" t="s">
        <v>579</v>
      </c>
      <c r="O198" s="7">
        <v>766</v>
      </c>
      <c r="P198" s="7">
        <v>34</v>
      </c>
      <c r="Q198" s="13">
        <f t="shared" si="7"/>
        <v>22.529411764705884</v>
      </c>
      <c r="R198" s="7"/>
      <c r="S198" s="7"/>
      <c r="T198" s="7"/>
      <c r="U198" s="7"/>
      <c r="V198" s="9" t="s">
        <v>549</v>
      </c>
    </row>
    <row r="199" spans="1:22" ht="34.5" x14ac:dyDescent="0.25">
      <c r="A199" s="7">
        <v>1311</v>
      </c>
      <c r="B199" s="7">
        <v>2025</v>
      </c>
      <c r="C199" s="7" t="s">
        <v>261</v>
      </c>
      <c r="D199" s="7" t="s">
        <v>75</v>
      </c>
      <c r="E199" s="7" t="s">
        <v>580</v>
      </c>
      <c r="F199" s="7" t="s">
        <v>269</v>
      </c>
      <c r="G199" s="18">
        <v>45924</v>
      </c>
      <c r="H199" s="18">
        <v>45931</v>
      </c>
      <c r="I199" s="18">
        <v>46022</v>
      </c>
      <c r="J199" s="7" t="str">
        <f>VLOOKUP(D199,Droplist!A:C,3,0)</f>
        <v>Martin Schulz</v>
      </c>
      <c r="K199" s="7" t="s">
        <v>580</v>
      </c>
      <c r="L199" s="7" t="s">
        <v>264</v>
      </c>
      <c r="M199" s="7" t="str">
        <f t="shared" si="6"/>
        <v>AWARDED</v>
      </c>
      <c r="N199" s="7"/>
      <c r="O199" s="7">
        <v>787</v>
      </c>
      <c r="P199" s="7">
        <v>60</v>
      </c>
      <c r="Q199" s="13">
        <f t="shared" si="7"/>
        <v>13.116666666666667</v>
      </c>
      <c r="R199" s="7">
        <v>800</v>
      </c>
      <c r="S199" s="7">
        <v>66.666666666666671</v>
      </c>
      <c r="T199" s="7">
        <v>5.5970000000000004</v>
      </c>
      <c r="U199" s="7">
        <v>20.737000000000002</v>
      </c>
      <c r="V199" s="9" t="s">
        <v>581</v>
      </c>
    </row>
    <row r="200" spans="1:22" ht="23.25" x14ac:dyDescent="0.25">
      <c r="A200" s="7">
        <v>1312</v>
      </c>
      <c r="B200" s="7">
        <v>2025</v>
      </c>
      <c r="C200" s="7" t="s">
        <v>261</v>
      </c>
      <c r="D200" s="7" t="s">
        <v>87</v>
      </c>
      <c r="E200" s="7" t="s">
        <v>582</v>
      </c>
      <c r="F200" s="7" t="s">
        <v>269</v>
      </c>
      <c r="G200" s="18">
        <v>45888</v>
      </c>
      <c r="H200" s="18">
        <v>45888</v>
      </c>
      <c r="I200" s="18">
        <v>46022</v>
      </c>
      <c r="J200" s="7" t="str">
        <f>VLOOKUP(D200,Droplist!A:C,3,0)</f>
        <v>Martin Schulz</v>
      </c>
      <c r="K200" s="7"/>
      <c r="L200" s="7" t="s">
        <v>267</v>
      </c>
      <c r="M200" s="7" t="str">
        <f t="shared" si="6"/>
        <v>NOT AWARDED</v>
      </c>
      <c r="N200" s="7" t="s">
        <v>354</v>
      </c>
      <c r="O200" s="7">
        <v>1238</v>
      </c>
      <c r="P200" s="7">
        <v>157</v>
      </c>
      <c r="Q200" s="13">
        <f t="shared" si="7"/>
        <v>7.8853503184713372</v>
      </c>
      <c r="R200" s="7"/>
      <c r="S200" s="7"/>
      <c r="T200" s="7"/>
      <c r="U200" s="7"/>
      <c r="V200" s="9" t="s">
        <v>583</v>
      </c>
    </row>
    <row r="201" spans="1:22" x14ac:dyDescent="0.25">
      <c r="A201" s="7">
        <v>1313</v>
      </c>
      <c r="B201" s="7">
        <v>2025</v>
      </c>
      <c r="C201" s="7" t="s">
        <v>261</v>
      </c>
      <c r="D201" s="7" t="s">
        <v>207</v>
      </c>
      <c r="E201" s="7" t="s">
        <v>428</v>
      </c>
      <c r="F201" s="7" t="s">
        <v>269</v>
      </c>
      <c r="G201" s="18">
        <v>45867</v>
      </c>
      <c r="H201" s="18">
        <v>45931</v>
      </c>
      <c r="I201" s="18">
        <v>46022</v>
      </c>
      <c r="J201" s="7" t="str">
        <f>VLOOKUP(D201,Droplist!A:C,3,0)</f>
        <v>Jens Pottschul</v>
      </c>
      <c r="K201" s="7"/>
      <c r="L201" s="7" t="s">
        <v>267</v>
      </c>
      <c r="M201" s="7" t="str">
        <f t="shared" si="6"/>
        <v>NOT AWARDED</v>
      </c>
      <c r="N201" s="7" t="s">
        <v>268</v>
      </c>
      <c r="O201" s="7">
        <v>5400</v>
      </c>
      <c r="P201" s="7">
        <v>2485</v>
      </c>
      <c r="Q201" s="13">
        <f t="shared" si="7"/>
        <v>2.1730382293762576</v>
      </c>
      <c r="R201" s="7" t="s">
        <v>335</v>
      </c>
      <c r="S201" s="7"/>
      <c r="T201" s="7"/>
      <c r="U201" s="7"/>
      <c r="V201" s="9" t="s">
        <v>285</v>
      </c>
    </row>
    <row r="202" spans="1:22" ht="23.25" x14ac:dyDescent="0.25">
      <c r="A202" s="7">
        <v>1314</v>
      </c>
      <c r="B202" s="7">
        <v>2025</v>
      </c>
      <c r="C202" s="7" t="s">
        <v>261</v>
      </c>
      <c r="D202" s="7" t="s">
        <v>99</v>
      </c>
      <c r="E202" s="7" t="s">
        <v>547</v>
      </c>
      <c r="F202" s="7" t="s">
        <v>269</v>
      </c>
      <c r="G202" s="18">
        <v>45863</v>
      </c>
      <c r="H202" s="18">
        <v>45870</v>
      </c>
      <c r="I202" s="18">
        <v>46053</v>
      </c>
      <c r="J202" s="7" t="str">
        <f>VLOOKUP(D202,Droplist!A:C,3,0)</f>
        <v>Kevin Taylor</v>
      </c>
      <c r="K202" s="7"/>
      <c r="L202" s="7" t="s">
        <v>267</v>
      </c>
      <c r="M202" s="7" t="str">
        <f t="shared" si="6"/>
        <v>NOT AWARDED</v>
      </c>
      <c r="N202" s="7" t="s">
        <v>268</v>
      </c>
      <c r="O202" s="7">
        <v>14802</v>
      </c>
      <c r="P202" s="7">
        <v>561</v>
      </c>
      <c r="Q202" s="13">
        <f t="shared" si="7"/>
        <v>26.385026737967916</v>
      </c>
      <c r="R202" s="7"/>
      <c r="S202" s="7"/>
      <c r="T202" s="7"/>
      <c r="U202" s="7"/>
      <c r="V202" s="9" t="s">
        <v>584</v>
      </c>
    </row>
    <row r="203" spans="1:22" x14ac:dyDescent="0.25">
      <c r="A203" s="7">
        <v>1315</v>
      </c>
      <c r="B203" s="7">
        <v>2025</v>
      </c>
      <c r="C203" s="7" t="s">
        <v>261</v>
      </c>
      <c r="D203" s="7" t="s">
        <v>101</v>
      </c>
      <c r="E203" s="7" t="s">
        <v>430</v>
      </c>
      <c r="F203" s="7" t="s">
        <v>269</v>
      </c>
      <c r="G203" s="18">
        <v>45860</v>
      </c>
      <c r="H203" s="18">
        <v>45860</v>
      </c>
      <c r="I203" s="18">
        <v>46022</v>
      </c>
      <c r="J203" s="7" t="str">
        <f>VLOOKUP(D203,Droplist!A:C,3,0)</f>
        <v>Jakob Bluhme</v>
      </c>
      <c r="K203" s="7"/>
      <c r="L203" s="7" t="s">
        <v>267</v>
      </c>
      <c r="M203" s="7" t="str">
        <f t="shared" si="6"/>
        <v>NOT AWARDED</v>
      </c>
      <c r="N203" s="7" t="s">
        <v>585</v>
      </c>
      <c r="O203" s="7">
        <v>4040</v>
      </c>
      <c r="P203" s="7">
        <v>57</v>
      </c>
      <c r="Q203" s="13">
        <f t="shared" si="7"/>
        <v>70.877192982456137</v>
      </c>
      <c r="R203" s="7"/>
      <c r="S203" s="7"/>
      <c r="T203" s="7">
        <v>83.941000000000003</v>
      </c>
      <c r="U203" s="7">
        <v>56.264999999999993</v>
      </c>
      <c r="V203" s="9" t="s">
        <v>371</v>
      </c>
    </row>
    <row r="204" spans="1:22" x14ac:dyDescent="0.25">
      <c r="A204" s="7">
        <v>1316</v>
      </c>
      <c r="B204" s="7">
        <v>2025</v>
      </c>
      <c r="C204" s="7" t="s">
        <v>564</v>
      </c>
      <c r="D204" s="7" t="s">
        <v>103</v>
      </c>
      <c r="E204" s="7" t="s">
        <v>586</v>
      </c>
      <c r="F204" s="7" t="s">
        <v>269</v>
      </c>
      <c r="G204" s="18">
        <v>45866</v>
      </c>
      <c r="H204" s="18">
        <v>45870</v>
      </c>
      <c r="I204" s="18">
        <v>45930</v>
      </c>
      <c r="J204" s="7" t="str">
        <f>VLOOKUP(D204,Droplist!A:C,3,0)</f>
        <v>Ryan Howell</v>
      </c>
      <c r="K204" s="7"/>
      <c r="L204" s="7" t="s">
        <v>277</v>
      </c>
      <c r="M204" s="7" t="str">
        <f t="shared" si="6"/>
        <v>AWARDED/EXPIRED</v>
      </c>
      <c r="N204" s="7"/>
      <c r="O204" s="7">
        <v>11898</v>
      </c>
      <c r="P204" s="7">
        <v>144</v>
      </c>
      <c r="Q204" s="13">
        <f t="shared" si="7"/>
        <v>82.625</v>
      </c>
      <c r="R204" s="7" t="s">
        <v>280</v>
      </c>
      <c r="S204" s="7" t="s">
        <v>280</v>
      </c>
      <c r="T204" s="7">
        <v>60.682000000000002</v>
      </c>
      <c r="U204" s="7"/>
      <c r="V204" s="9" t="s">
        <v>587</v>
      </c>
    </row>
    <row r="205" spans="1:22" x14ac:dyDescent="0.25">
      <c r="A205" s="7">
        <v>1317</v>
      </c>
      <c r="B205" s="7">
        <v>2025</v>
      </c>
      <c r="C205" s="7" t="s">
        <v>261</v>
      </c>
      <c r="D205" s="7" t="s">
        <v>104</v>
      </c>
      <c r="E205" s="7" t="s">
        <v>532</v>
      </c>
      <c r="F205" s="7" t="s">
        <v>269</v>
      </c>
      <c r="G205" s="18">
        <v>45889</v>
      </c>
      <c r="H205" s="18">
        <v>45901</v>
      </c>
      <c r="I205" s="18">
        <v>46022</v>
      </c>
      <c r="J205" s="7" t="str">
        <f>VLOOKUP(D205,Droplist!A:C,3,0)</f>
        <v>Martin Schulz</v>
      </c>
      <c r="K205" s="7" t="s">
        <v>532</v>
      </c>
      <c r="L205" s="7" t="s">
        <v>264</v>
      </c>
      <c r="M205" s="7" t="str">
        <f t="shared" si="6"/>
        <v>AWARDED</v>
      </c>
      <c r="N205" s="7"/>
      <c r="O205" s="7">
        <v>1385</v>
      </c>
      <c r="P205" s="7">
        <v>49</v>
      </c>
      <c r="Q205" s="13">
        <f t="shared" si="7"/>
        <v>28.26530612244898</v>
      </c>
      <c r="R205" s="7" t="s">
        <v>265</v>
      </c>
      <c r="S205" s="7" t="s">
        <v>265</v>
      </c>
      <c r="T205" s="7"/>
      <c r="U205" s="7"/>
      <c r="V205" s="9" t="s">
        <v>588</v>
      </c>
    </row>
    <row r="206" spans="1:22" x14ac:dyDescent="0.25">
      <c r="A206" s="7">
        <v>1318</v>
      </c>
      <c r="B206" s="7">
        <v>2025</v>
      </c>
      <c r="C206" s="7" t="s">
        <v>261</v>
      </c>
      <c r="D206" s="7" t="s">
        <v>589</v>
      </c>
      <c r="E206" s="7" t="s">
        <v>368</v>
      </c>
      <c r="F206" s="7" t="s">
        <v>269</v>
      </c>
      <c r="G206" s="18">
        <v>45867</v>
      </c>
      <c r="H206" s="18">
        <v>45870</v>
      </c>
      <c r="I206" s="18">
        <v>46022</v>
      </c>
      <c r="J206" s="7" t="str">
        <f>VLOOKUP(D206,Droplist!A:C,3,0)</f>
        <v>Martin Schulz</v>
      </c>
      <c r="K206" s="7" t="s">
        <v>368</v>
      </c>
      <c r="L206" s="7" t="s">
        <v>264</v>
      </c>
      <c r="M206" s="7" t="str">
        <f t="shared" si="6"/>
        <v>PRIME</v>
      </c>
      <c r="N206" s="7"/>
      <c r="O206" s="7">
        <v>7092</v>
      </c>
      <c r="P206" s="7">
        <v>520</v>
      </c>
      <c r="Q206" s="13">
        <f t="shared" si="7"/>
        <v>13.638461538461538</v>
      </c>
      <c r="R206" s="7">
        <v>3546</v>
      </c>
      <c r="S206" s="7">
        <v>296</v>
      </c>
      <c r="T206" s="7">
        <v>2285.0949999999993</v>
      </c>
      <c r="U206" s="7"/>
      <c r="V206" s="9" t="s">
        <v>577</v>
      </c>
    </row>
    <row r="207" spans="1:22" ht="34.5" x14ac:dyDescent="0.25">
      <c r="A207" s="7">
        <v>1319</v>
      </c>
      <c r="B207" s="7">
        <v>2025</v>
      </c>
      <c r="C207" s="7" t="s">
        <v>261</v>
      </c>
      <c r="D207" s="7" t="s">
        <v>81</v>
      </c>
      <c r="E207" s="7" t="s">
        <v>590</v>
      </c>
      <c r="F207" s="7" t="s">
        <v>269</v>
      </c>
      <c r="G207" s="18">
        <v>45894</v>
      </c>
      <c r="H207" s="18">
        <v>45894</v>
      </c>
      <c r="I207" s="18">
        <v>46203</v>
      </c>
      <c r="J207" s="7" t="str">
        <f>VLOOKUP(D207,Droplist!A:C,3,0)</f>
        <v>Jens Pottschul</v>
      </c>
      <c r="K207" s="7" t="s">
        <v>591</v>
      </c>
      <c r="L207" s="7" t="s">
        <v>264</v>
      </c>
      <c r="M207" s="7" t="str">
        <f t="shared" si="6"/>
        <v>AWARDED</v>
      </c>
      <c r="N207" s="7"/>
      <c r="O207" s="7">
        <v>1514</v>
      </c>
      <c r="P207" s="7">
        <v>31</v>
      </c>
      <c r="Q207" s="13">
        <f t="shared" si="7"/>
        <v>48.838709677419352</v>
      </c>
      <c r="R207" s="7">
        <v>243</v>
      </c>
      <c r="S207" s="7" t="s">
        <v>265</v>
      </c>
      <c r="T207" s="7"/>
      <c r="U207" s="7">
        <v>26.420999999999999</v>
      </c>
      <c r="V207" s="9" t="s">
        <v>592</v>
      </c>
    </row>
    <row r="208" spans="1:22" x14ac:dyDescent="0.25">
      <c r="A208" s="7">
        <v>1320</v>
      </c>
      <c r="B208" s="7">
        <v>2025</v>
      </c>
      <c r="C208" s="7" t="s">
        <v>261</v>
      </c>
      <c r="D208" s="7" t="s">
        <v>84</v>
      </c>
      <c r="E208" s="7" t="s">
        <v>527</v>
      </c>
      <c r="F208" s="7" t="s">
        <v>269</v>
      </c>
      <c r="G208" s="18">
        <v>45898</v>
      </c>
      <c r="H208" s="18">
        <v>45901</v>
      </c>
      <c r="I208" s="18">
        <v>46265</v>
      </c>
      <c r="J208" s="7" t="str">
        <f>VLOOKUP(D208,Droplist!A:C,3,0)</f>
        <v>Martin Schulz</v>
      </c>
      <c r="K208" s="7"/>
      <c r="L208" s="7" t="s">
        <v>267</v>
      </c>
      <c r="M208" s="7" t="str">
        <f t="shared" si="6"/>
        <v>NOT AWARDED</v>
      </c>
      <c r="N208" s="7" t="s">
        <v>354</v>
      </c>
      <c r="O208" s="7">
        <v>6137.5</v>
      </c>
      <c r="P208" s="7">
        <v>120</v>
      </c>
      <c r="Q208" s="13">
        <f t="shared" si="7"/>
        <v>51.145833333333336</v>
      </c>
      <c r="R208" s="7"/>
      <c r="S208" s="7"/>
      <c r="T208" s="7"/>
      <c r="U208" s="7">
        <v>1244.7780000000007</v>
      </c>
      <c r="V208" s="9" t="s">
        <v>593</v>
      </c>
    </row>
    <row r="209" spans="1:22" ht="23.25" x14ac:dyDescent="0.25">
      <c r="A209" s="7">
        <v>1321</v>
      </c>
      <c r="B209" s="7">
        <v>2025</v>
      </c>
      <c r="C209" s="7" t="s">
        <v>261</v>
      </c>
      <c r="D209" s="7" t="s">
        <v>87</v>
      </c>
      <c r="E209" s="7" t="s">
        <v>594</v>
      </c>
      <c r="F209" s="7" t="s">
        <v>269</v>
      </c>
      <c r="G209" s="18">
        <v>45950</v>
      </c>
      <c r="H209" s="18">
        <v>45950</v>
      </c>
      <c r="I209" s="18">
        <v>46022</v>
      </c>
      <c r="J209" s="7" t="str">
        <f>VLOOKUP(D209,Droplist!A:C,3,0)</f>
        <v>Martin Schulz</v>
      </c>
      <c r="K209" s="7"/>
      <c r="L209" s="7" t="s">
        <v>267</v>
      </c>
      <c r="M209" s="7" t="str">
        <f t="shared" si="6"/>
        <v>NOT AWARDED</v>
      </c>
      <c r="N209" s="7" t="s">
        <v>595</v>
      </c>
      <c r="O209" s="7">
        <v>4628</v>
      </c>
      <c r="P209" s="7">
        <v>273</v>
      </c>
      <c r="Q209" s="13">
        <f t="shared" si="7"/>
        <v>16.952380952380953</v>
      </c>
      <c r="R209" s="7"/>
      <c r="S209" s="7"/>
      <c r="T209" s="7"/>
      <c r="U209" s="7"/>
      <c r="V209" s="9" t="s">
        <v>596</v>
      </c>
    </row>
    <row r="210" spans="1:22" ht="23.25" x14ac:dyDescent="0.25">
      <c r="A210" s="7">
        <v>1322</v>
      </c>
      <c r="B210" s="7">
        <v>2026</v>
      </c>
      <c r="C210" s="7" t="s">
        <v>261</v>
      </c>
      <c r="D210" s="7" t="s">
        <v>99</v>
      </c>
      <c r="E210" s="7" t="s">
        <v>220</v>
      </c>
      <c r="F210" s="7" t="s">
        <v>597</v>
      </c>
      <c r="G210" s="18">
        <v>45944</v>
      </c>
      <c r="H210" s="18">
        <v>46023</v>
      </c>
      <c r="I210" s="18">
        <v>46387</v>
      </c>
      <c r="J210" s="7" t="str">
        <f>VLOOKUP(D210,Droplist!A:C,3,0)</f>
        <v>Kevin Taylor</v>
      </c>
      <c r="K210" s="7" t="s">
        <v>598</v>
      </c>
      <c r="L210" s="7" t="s">
        <v>264</v>
      </c>
      <c r="M210" s="7" t="str">
        <f t="shared" si="6"/>
        <v>AWARDED</v>
      </c>
      <c r="N210" s="7" t="s">
        <v>599</v>
      </c>
      <c r="O210" s="7">
        <v>113975.6</v>
      </c>
      <c r="P210" s="7">
        <v>2138</v>
      </c>
      <c r="Q210" s="13">
        <f t="shared" si="7"/>
        <v>53.309448082319925</v>
      </c>
      <c r="R210" s="7" t="s">
        <v>265</v>
      </c>
      <c r="S210" s="7" t="s">
        <v>265</v>
      </c>
      <c r="T210" s="7">
        <v>53.684000000000005</v>
      </c>
      <c r="U210" s="7">
        <v>9.2729999999999997</v>
      </c>
      <c r="V210" s="9" t="s">
        <v>600</v>
      </c>
    </row>
    <row r="211" spans="1:22" x14ac:dyDescent="0.25">
      <c r="A211" s="7">
        <v>1323</v>
      </c>
      <c r="B211" s="7">
        <v>2026</v>
      </c>
      <c r="C211" s="7" t="s">
        <v>261</v>
      </c>
      <c r="D211" s="7" t="s">
        <v>433</v>
      </c>
      <c r="E211" s="7" t="s">
        <v>220</v>
      </c>
      <c r="F211" s="7" t="s">
        <v>597</v>
      </c>
      <c r="G211" s="18">
        <v>46036</v>
      </c>
      <c r="H211" s="18">
        <v>46036</v>
      </c>
      <c r="I211" s="18">
        <v>46387</v>
      </c>
      <c r="J211" s="7" t="str">
        <f>VLOOKUP(D211,Droplist!A:C,3,0)</f>
        <v>Bruce Ericson</v>
      </c>
      <c r="K211" s="7"/>
      <c r="L211" s="7" t="s">
        <v>601</v>
      </c>
      <c r="M211" s="7" t="str">
        <f t="shared" si="6"/>
        <v>PENDING OUTCOME</v>
      </c>
      <c r="N211" s="7" t="s">
        <v>602</v>
      </c>
      <c r="O211" s="7">
        <v>50916.02</v>
      </c>
      <c r="P211" s="7">
        <v>613</v>
      </c>
      <c r="Q211" s="13">
        <f t="shared" si="7"/>
        <v>83.060391517128863</v>
      </c>
      <c r="R211" s="7"/>
      <c r="S211" s="7"/>
      <c r="T211" s="7"/>
      <c r="U211" s="7"/>
      <c r="V211" s="9"/>
    </row>
    <row r="212" spans="1:22" x14ac:dyDescent="0.25">
      <c r="A212" s="7">
        <v>1324</v>
      </c>
      <c r="B212" s="7">
        <v>2025</v>
      </c>
      <c r="C212" s="7" t="s">
        <v>296</v>
      </c>
      <c r="D212" s="7" t="s">
        <v>48</v>
      </c>
      <c r="E212" s="7" t="s">
        <v>603</v>
      </c>
      <c r="F212" s="7" t="s">
        <v>269</v>
      </c>
      <c r="G212" s="18">
        <v>45870</v>
      </c>
      <c r="H212" s="18">
        <v>45870</v>
      </c>
      <c r="I212" s="18">
        <v>45961</v>
      </c>
      <c r="J212" s="7" t="str">
        <f>VLOOKUP(D212,Droplist!A:C,3,0)</f>
        <v>Jakob Bluhme</v>
      </c>
      <c r="K212" s="7" t="s">
        <v>603</v>
      </c>
      <c r="L212" s="7" t="s">
        <v>264</v>
      </c>
      <c r="M212" s="7" t="str">
        <f t="shared" si="6"/>
        <v>AWARDED</v>
      </c>
      <c r="N212" s="7"/>
      <c r="O212" s="7">
        <v>1786</v>
      </c>
      <c r="P212" s="7">
        <v>74</v>
      </c>
      <c r="Q212" s="13">
        <f t="shared" si="7"/>
        <v>24.135135135135137</v>
      </c>
      <c r="R212" s="7">
        <v>1550</v>
      </c>
      <c r="S212" s="7" t="s">
        <v>265</v>
      </c>
      <c r="T212" s="7">
        <v>8.9860000000000007</v>
      </c>
      <c r="U212" s="7">
        <v>1.0900000000000001</v>
      </c>
      <c r="V212" s="9"/>
    </row>
    <row r="213" spans="1:22" x14ac:dyDescent="0.25">
      <c r="A213" s="7">
        <v>1325</v>
      </c>
      <c r="B213" s="7">
        <v>2025</v>
      </c>
      <c r="C213" s="7" t="s">
        <v>296</v>
      </c>
      <c r="D213" s="7" t="s">
        <v>481</v>
      </c>
      <c r="E213" s="7" t="s">
        <v>368</v>
      </c>
      <c r="F213" s="7" t="s">
        <v>269</v>
      </c>
      <c r="G213" s="18">
        <v>45896</v>
      </c>
      <c r="H213" s="18">
        <v>45901</v>
      </c>
      <c r="I213" s="18">
        <v>45991</v>
      </c>
      <c r="J213" s="7" t="str">
        <f>VLOOKUP(D213,Droplist!A:C,3,0)</f>
        <v>Jens Pottschul</v>
      </c>
      <c r="K213" s="7" t="s">
        <v>368</v>
      </c>
      <c r="L213" s="7" t="s">
        <v>264</v>
      </c>
      <c r="M213" s="7" t="str">
        <f t="shared" si="6"/>
        <v>AWARDED</v>
      </c>
      <c r="N213" s="7"/>
      <c r="O213" s="7" t="s">
        <v>369</v>
      </c>
      <c r="P213" s="7">
        <v>9</v>
      </c>
      <c r="Q213" s="13" t="e">
        <f t="shared" si="7"/>
        <v>#VALUE!</v>
      </c>
      <c r="R213" s="7" t="s">
        <v>265</v>
      </c>
      <c r="S213" s="7" t="s">
        <v>265</v>
      </c>
      <c r="T213" s="7">
        <v>0.42</v>
      </c>
      <c r="U213" s="7"/>
      <c r="V213" s="9"/>
    </row>
    <row r="214" spans="1:22" ht="23.25" x14ac:dyDescent="0.25">
      <c r="A214" s="7">
        <v>1326</v>
      </c>
      <c r="B214" s="7">
        <v>2026</v>
      </c>
      <c r="C214" s="7" t="s">
        <v>261</v>
      </c>
      <c r="D214" s="7" t="s">
        <v>55</v>
      </c>
      <c r="E214" s="7" t="s">
        <v>220</v>
      </c>
      <c r="F214" s="7" t="s">
        <v>597</v>
      </c>
      <c r="G214" s="18">
        <v>45944</v>
      </c>
      <c r="H214" s="18">
        <v>46023</v>
      </c>
      <c r="I214" s="18">
        <v>46387</v>
      </c>
      <c r="J214" s="7" t="str">
        <f>VLOOKUP(D214,Droplist!A:C,3,0)</f>
        <v>Mette B. Karapetian</v>
      </c>
      <c r="K214" s="7"/>
      <c r="L214" s="7" t="s">
        <v>601</v>
      </c>
      <c r="M214" s="7" t="str">
        <f t="shared" si="6"/>
        <v>PENDING OUTCOME</v>
      </c>
      <c r="N214" s="7" t="s">
        <v>604</v>
      </c>
      <c r="O214" s="7">
        <v>114963</v>
      </c>
      <c r="P214" s="7">
        <v>1691</v>
      </c>
      <c r="Q214" s="13">
        <f t="shared" si="7"/>
        <v>67.985215848610295</v>
      </c>
      <c r="R214" s="7"/>
      <c r="S214" s="7"/>
      <c r="T214" s="7">
        <v>10.459999999999999</v>
      </c>
      <c r="U214" s="7"/>
      <c r="V214" s="9" t="s">
        <v>605</v>
      </c>
    </row>
    <row r="215" spans="1:22" x14ac:dyDescent="0.25">
      <c r="A215" s="7">
        <v>1327</v>
      </c>
      <c r="B215" s="7">
        <v>2025</v>
      </c>
      <c r="C215" s="7" t="s">
        <v>261</v>
      </c>
      <c r="D215" s="7" t="s">
        <v>55</v>
      </c>
      <c r="E215" s="7" t="s">
        <v>219</v>
      </c>
      <c r="F215" s="7" t="s">
        <v>269</v>
      </c>
      <c r="G215" s="18">
        <v>45912</v>
      </c>
      <c r="H215" s="18">
        <v>45931</v>
      </c>
      <c r="I215" s="18">
        <v>46112</v>
      </c>
      <c r="J215" s="7" t="str">
        <f>VLOOKUP(D215,Droplist!A:C,3,0)</f>
        <v>Mette B. Karapetian</v>
      </c>
      <c r="K215" s="7"/>
      <c r="L215" s="7" t="s">
        <v>267</v>
      </c>
      <c r="M215" s="7" t="str">
        <f t="shared" si="6"/>
        <v>NOT AWARDED</v>
      </c>
      <c r="N215" s="7" t="s">
        <v>595</v>
      </c>
      <c r="O215" s="7">
        <v>7271</v>
      </c>
      <c r="P215" s="7">
        <v>1283</v>
      </c>
      <c r="Q215" s="13">
        <f t="shared" si="7"/>
        <v>5.6671862821512082</v>
      </c>
      <c r="R215" s="7"/>
      <c r="S215" s="7"/>
      <c r="T215" s="7"/>
      <c r="U215" s="7"/>
      <c r="V215" s="9" t="s">
        <v>606</v>
      </c>
    </row>
    <row r="216" spans="1:22" ht="23.25" x14ac:dyDescent="0.25">
      <c r="A216" s="7">
        <v>1328</v>
      </c>
      <c r="B216" s="7">
        <v>2026</v>
      </c>
      <c r="C216" s="7" t="s">
        <v>261</v>
      </c>
      <c r="D216" s="7" t="s">
        <v>382</v>
      </c>
      <c r="E216" s="7" t="s">
        <v>220</v>
      </c>
      <c r="F216" s="7" t="s">
        <v>597</v>
      </c>
      <c r="G216" s="18">
        <v>45940</v>
      </c>
      <c r="H216" s="18">
        <v>46023</v>
      </c>
      <c r="I216" s="18">
        <v>46387</v>
      </c>
      <c r="J216" s="7" t="str">
        <f>VLOOKUP(D216,Droplist!A:C,3,0)</f>
        <v>Chris Crowder</v>
      </c>
      <c r="K216" s="7"/>
      <c r="L216" s="7" t="s">
        <v>601</v>
      </c>
      <c r="M216" s="7" t="str">
        <f t="shared" si="6"/>
        <v>PENDING OUTCOME</v>
      </c>
      <c r="N216" s="7"/>
      <c r="O216" s="7">
        <v>56109</v>
      </c>
      <c r="P216" s="7">
        <v>735</v>
      </c>
      <c r="Q216" s="13">
        <f t="shared" si="7"/>
        <v>76.338775510204087</v>
      </c>
      <c r="R216" s="7"/>
      <c r="S216" s="7"/>
      <c r="T216" s="7">
        <v>0.86799999999999999</v>
      </c>
      <c r="U216" s="7"/>
      <c r="V216" s="9" t="s">
        <v>607</v>
      </c>
    </row>
    <row r="217" spans="1:22" x14ac:dyDescent="0.25">
      <c r="A217" s="7">
        <v>1329</v>
      </c>
      <c r="B217" s="7">
        <v>2025</v>
      </c>
      <c r="C217" s="7" t="s">
        <v>261</v>
      </c>
      <c r="D217" s="7" t="s">
        <v>234</v>
      </c>
      <c r="E217" s="7" t="s">
        <v>220</v>
      </c>
      <c r="F217" s="7" t="s">
        <v>269</v>
      </c>
      <c r="G217" s="18">
        <v>45910</v>
      </c>
      <c r="H217" s="18">
        <v>45931</v>
      </c>
      <c r="I217" s="18">
        <v>46112</v>
      </c>
      <c r="J217" s="7" t="str">
        <f>VLOOKUP(D217,Droplist!A:C,3,0)</f>
        <v>Chris Crowder</v>
      </c>
      <c r="K217" s="7"/>
      <c r="L217" s="7" t="s">
        <v>267</v>
      </c>
      <c r="M217" s="7" t="str">
        <f t="shared" si="6"/>
        <v>NOT AWARDED</v>
      </c>
      <c r="N217" s="7" t="s">
        <v>608</v>
      </c>
      <c r="O217" s="7">
        <v>3611</v>
      </c>
      <c r="P217" s="7">
        <v>133</v>
      </c>
      <c r="Q217" s="13">
        <f t="shared" si="7"/>
        <v>27.150375939849624</v>
      </c>
      <c r="R217" s="7"/>
      <c r="S217" s="7"/>
      <c r="T217" s="7"/>
      <c r="U217" s="7"/>
      <c r="V217" s="9" t="s">
        <v>609</v>
      </c>
    </row>
    <row r="218" spans="1:22" x14ac:dyDescent="0.25">
      <c r="A218" s="7">
        <v>1330</v>
      </c>
      <c r="B218" s="7">
        <v>2026</v>
      </c>
      <c r="C218" s="7" t="s">
        <v>261</v>
      </c>
      <c r="D218" s="7" t="s">
        <v>99</v>
      </c>
      <c r="E218" s="7" t="s">
        <v>196</v>
      </c>
      <c r="F218" s="7" t="s">
        <v>597</v>
      </c>
      <c r="G218" s="18">
        <v>45922</v>
      </c>
      <c r="H218" s="18">
        <v>46023</v>
      </c>
      <c r="I218" s="18">
        <v>46387</v>
      </c>
      <c r="J218" s="7" t="str">
        <f>VLOOKUP(D218,Droplist!A:C,3,0)</f>
        <v>Kevin Taylor</v>
      </c>
      <c r="K218" s="7" t="s">
        <v>196</v>
      </c>
      <c r="L218" s="7" t="s">
        <v>264</v>
      </c>
      <c r="M218" s="7" t="str">
        <f t="shared" si="6"/>
        <v>AWARDED</v>
      </c>
      <c r="N218" s="7"/>
      <c r="O218" s="7">
        <v>58000</v>
      </c>
      <c r="P218" s="7">
        <v>1683</v>
      </c>
      <c r="Q218" s="13">
        <f t="shared" si="7"/>
        <v>34.462269756387407</v>
      </c>
      <c r="R218" s="7">
        <v>8228</v>
      </c>
      <c r="S218" s="7">
        <v>685</v>
      </c>
      <c r="T218" s="7"/>
      <c r="U218" s="7"/>
      <c r="V218" s="9"/>
    </row>
    <row r="219" spans="1:22" x14ac:dyDescent="0.25">
      <c r="A219" s="7">
        <v>1331</v>
      </c>
      <c r="B219" s="7">
        <v>2025</v>
      </c>
      <c r="C219" s="7" t="s">
        <v>261</v>
      </c>
      <c r="D219" s="7" t="s">
        <v>407</v>
      </c>
      <c r="E219" s="7" t="s">
        <v>610</v>
      </c>
      <c r="F219" s="7" t="s">
        <v>269</v>
      </c>
      <c r="G219" s="18">
        <v>45960</v>
      </c>
      <c r="H219" s="18">
        <v>45960</v>
      </c>
      <c r="I219" s="18">
        <v>46053</v>
      </c>
      <c r="J219" s="7" t="str">
        <f>VLOOKUP(D219,Droplist!A:C,3,0)</f>
        <v xml:space="preserve">Roberta MacLeod-Stuart </v>
      </c>
      <c r="K219" s="7"/>
      <c r="L219" s="7" t="s">
        <v>267</v>
      </c>
      <c r="M219" s="7" t="str">
        <f t="shared" si="6"/>
        <v>NOT AWARDED</v>
      </c>
      <c r="N219" s="7" t="s">
        <v>611</v>
      </c>
      <c r="O219" s="7">
        <v>2735</v>
      </c>
      <c r="P219" s="7">
        <v>48</v>
      </c>
      <c r="Q219" s="13">
        <f t="shared" si="7"/>
        <v>56.979166666666664</v>
      </c>
      <c r="R219" s="7"/>
      <c r="S219" s="7"/>
      <c r="T219" s="7"/>
      <c r="U219" s="7"/>
      <c r="V219" s="9" t="s">
        <v>612</v>
      </c>
    </row>
    <row r="220" spans="1:22" ht="23.25" x14ac:dyDescent="0.25">
      <c r="A220" s="7">
        <v>1332</v>
      </c>
      <c r="B220" s="7">
        <v>2025</v>
      </c>
      <c r="C220" s="7" t="s">
        <v>261</v>
      </c>
      <c r="D220" s="7" t="s">
        <v>407</v>
      </c>
      <c r="E220" s="7" t="s">
        <v>613</v>
      </c>
      <c r="F220" s="7" t="s">
        <v>269</v>
      </c>
      <c r="G220" s="18">
        <v>45952</v>
      </c>
      <c r="H220" s="18">
        <v>45953</v>
      </c>
      <c r="I220" s="18">
        <v>46173</v>
      </c>
      <c r="J220" s="7" t="str">
        <f>VLOOKUP(D220,Droplist!A:C,3,0)</f>
        <v xml:space="preserve">Roberta MacLeod-Stuart </v>
      </c>
      <c r="K220" s="7"/>
      <c r="L220" s="7" t="s">
        <v>267</v>
      </c>
      <c r="M220" s="7" t="str">
        <f t="shared" si="6"/>
        <v>NOT AWARDED</v>
      </c>
      <c r="N220" s="7" t="s">
        <v>614</v>
      </c>
      <c r="O220" s="7">
        <v>9307</v>
      </c>
      <c r="P220" s="7">
        <v>312</v>
      </c>
      <c r="Q220" s="13">
        <f t="shared" si="7"/>
        <v>29.830128205128204</v>
      </c>
      <c r="R220" s="7"/>
      <c r="S220" s="7"/>
      <c r="T220" s="7"/>
      <c r="U220" s="7"/>
      <c r="V220" s="9" t="s">
        <v>615</v>
      </c>
    </row>
    <row r="221" spans="1:22" x14ac:dyDescent="0.25">
      <c r="A221" s="7">
        <v>1333</v>
      </c>
      <c r="B221" s="7">
        <v>2025</v>
      </c>
      <c r="C221" s="7" t="s">
        <v>261</v>
      </c>
      <c r="D221" s="7" t="s">
        <v>48</v>
      </c>
      <c r="E221" s="7" t="s">
        <v>219</v>
      </c>
      <c r="F221" s="7" t="s">
        <v>269</v>
      </c>
      <c r="G221" s="18">
        <v>45936</v>
      </c>
      <c r="H221" s="18">
        <v>45936</v>
      </c>
      <c r="I221" s="18">
        <v>46082</v>
      </c>
      <c r="J221" s="7" t="str">
        <f>VLOOKUP(D221,Droplist!A:C,3,0)</f>
        <v>Jakob Bluhme</v>
      </c>
      <c r="K221" s="7"/>
      <c r="L221" s="7" t="s">
        <v>267</v>
      </c>
      <c r="M221" s="7" t="str">
        <f t="shared" si="6"/>
        <v>NOT AWARDED</v>
      </c>
      <c r="N221" s="7" t="s">
        <v>595</v>
      </c>
      <c r="O221" s="7">
        <v>13684</v>
      </c>
      <c r="P221" s="7">
        <v>1145</v>
      </c>
      <c r="Q221" s="13">
        <f t="shared" si="7"/>
        <v>11.951091703056768</v>
      </c>
      <c r="R221" s="7"/>
      <c r="S221" s="7"/>
      <c r="T221" s="7">
        <v>0.878</v>
      </c>
      <c r="U221" s="7"/>
      <c r="V221" s="9" t="s">
        <v>616</v>
      </c>
    </row>
    <row r="222" spans="1:22" ht="23.25" x14ac:dyDescent="0.25">
      <c r="A222" s="7">
        <v>1334</v>
      </c>
      <c r="B222" s="7">
        <v>2026</v>
      </c>
      <c r="C222" s="7" t="s">
        <v>261</v>
      </c>
      <c r="D222" s="7" t="s">
        <v>55</v>
      </c>
      <c r="E222" s="7" t="s">
        <v>262</v>
      </c>
      <c r="F222" s="7" t="s">
        <v>617</v>
      </c>
      <c r="G222" s="18">
        <v>45978</v>
      </c>
      <c r="H222" s="18">
        <v>46023</v>
      </c>
      <c r="I222" s="18">
        <v>46387</v>
      </c>
      <c r="J222" s="7" t="str">
        <f>VLOOKUP(D222,Droplist!A:C,3,0)</f>
        <v>Mette B. Karapetian</v>
      </c>
      <c r="K222" s="7" t="s">
        <v>262</v>
      </c>
      <c r="L222" s="7" t="s">
        <v>264</v>
      </c>
      <c r="M222" s="7" t="str">
        <f t="shared" si="6"/>
        <v>MAINTENANCE</v>
      </c>
      <c r="N222" s="7"/>
      <c r="O222" s="7">
        <v>90102</v>
      </c>
      <c r="P222" s="7">
        <v>1110</v>
      </c>
      <c r="Q222" s="13">
        <f t="shared" si="7"/>
        <v>81.172972972972971</v>
      </c>
      <c r="R222" s="7">
        <v>540</v>
      </c>
      <c r="S222" s="7">
        <v>45</v>
      </c>
      <c r="T222" s="7">
        <v>540.42999999999995</v>
      </c>
      <c r="U222" s="7"/>
      <c r="V222" s="9" t="s">
        <v>618</v>
      </c>
    </row>
    <row r="223" spans="1:22" x14ac:dyDescent="0.25">
      <c r="A223" s="7">
        <v>1335</v>
      </c>
      <c r="B223" s="7">
        <v>2025</v>
      </c>
      <c r="C223" s="7" t="s">
        <v>261</v>
      </c>
      <c r="D223" s="7" t="s">
        <v>485</v>
      </c>
      <c r="E223" s="7" t="s">
        <v>619</v>
      </c>
      <c r="F223" s="7" t="s">
        <v>269</v>
      </c>
      <c r="G223" s="18">
        <v>45936</v>
      </c>
      <c r="H223" s="18">
        <v>45936</v>
      </c>
      <c r="I223" s="18">
        <v>46094</v>
      </c>
      <c r="J223" s="7" t="str">
        <f>VLOOKUP(D223,Droplist!A:C,3,0)</f>
        <v>Jakob Bluhme / Christine Solorzano / Diane Kaiser</v>
      </c>
      <c r="K223" s="7"/>
      <c r="L223" s="7" t="s">
        <v>267</v>
      </c>
      <c r="M223" s="7" t="str">
        <f t="shared" si="6"/>
        <v>NOT AWARDED</v>
      </c>
      <c r="N223" s="7" t="s">
        <v>595</v>
      </c>
      <c r="O223" s="7">
        <v>16869.099999999999</v>
      </c>
      <c r="P223" s="7">
        <v>359</v>
      </c>
      <c r="Q223" s="13">
        <f t="shared" si="7"/>
        <v>46.989136490250694</v>
      </c>
      <c r="R223" s="7"/>
      <c r="S223" s="7"/>
      <c r="T223" s="7"/>
      <c r="U223" s="7"/>
      <c r="V223" s="9" t="s">
        <v>620</v>
      </c>
    </row>
    <row r="224" spans="1:22" x14ac:dyDescent="0.25">
      <c r="A224" s="7">
        <v>1336</v>
      </c>
      <c r="B224" s="7">
        <v>2026</v>
      </c>
      <c r="C224" s="7" t="s">
        <v>261</v>
      </c>
      <c r="D224" s="7" t="s">
        <v>68</v>
      </c>
      <c r="E224" s="7" t="s">
        <v>196</v>
      </c>
      <c r="F224" s="7" t="s">
        <v>597</v>
      </c>
      <c r="G224" s="18">
        <v>45932</v>
      </c>
      <c r="H224" s="18">
        <v>46023</v>
      </c>
      <c r="I224" s="18">
        <v>46387</v>
      </c>
      <c r="J224" s="7" t="str">
        <f>VLOOKUP(D224,Droplist!A:C,3,0)</f>
        <v>Mette B. Karapetian</v>
      </c>
      <c r="K224" s="7"/>
      <c r="L224" s="7" t="s">
        <v>601</v>
      </c>
      <c r="M224" s="7" t="str">
        <f t="shared" si="6"/>
        <v>PENDING OUTCOME</v>
      </c>
      <c r="N224" s="7"/>
      <c r="O224" s="7">
        <v>31277</v>
      </c>
      <c r="P224" s="7">
        <v>648</v>
      </c>
      <c r="Q224" s="13">
        <f t="shared" si="7"/>
        <v>48.266975308641975</v>
      </c>
      <c r="R224" s="7"/>
      <c r="S224" s="7"/>
      <c r="T224" s="7"/>
      <c r="U224" s="7"/>
      <c r="V224" s="9"/>
    </row>
    <row r="225" spans="1:22" ht="23.25" x14ac:dyDescent="0.25">
      <c r="A225" s="7">
        <v>1337</v>
      </c>
      <c r="B225" s="7">
        <v>2025</v>
      </c>
      <c r="C225" s="7" t="s">
        <v>261</v>
      </c>
      <c r="D225" s="7" t="s">
        <v>185</v>
      </c>
      <c r="E225" s="7" t="s">
        <v>621</v>
      </c>
      <c r="F225" s="7" t="s">
        <v>269</v>
      </c>
      <c r="G225" s="18">
        <v>45929</v>
      </c>
      <c r="H225" s="18">
        <v>45929</v>
      </c>
      <c r="I225" s="18">
        <v>46022</v>
      </c>
      <c r="J225" s="7" t="str">
        <f>VLOOKUP(D225,Droplist!A:C,3,0)</f>
        <v>Jens Pottschul</v>
      </c>
      <c r="K225" s="7"/>
      <c r="L225" s="7" t="s">
        <v>267</v>
      </c>
      <c r="M225" s="7" t="str">
        <f t="shared" si="6"/>
        <v>NOT AWARDED</v>
      </c>
      <c r="N225" s="7" t="s">
        <v>354</v>
      </c>
      <c r="O225" s="7">
        <v>1000</v>
      </c>
      <c r="P225" s="7">
        <v>193</v>
      </c>
      <c r="Q225" s="13">
        <f t="shared" si="7"/>
        <v>5.1813471502590671</v>
      </c>
      <c r="R225" s="7"/>
      <c r="S225" s="7"/>
      <c r="T225" s="7"/>
      <c r="U225" s="7"/>
      <c r="V225" s="9" t="s">
        <v>622</v>
      </c>
    </row>
    <row r="226" spans="1:22" x14ac:dyDescent="0.25">
      <c r="A226" s="7">
        <v>1338</v>
      </c>
      <c r="B226" s="7">
        <v>2026</v>
      </c>
      <c r="C226" s="7" t="s">
        <v>261</v>
      </c>
      <c r="D226" s="7" t="s">
        <v>80</v>
      </c>
      <c r="E226" s="7" t="s">
        <v>182</v>
      </c>
      <c r="F226" s="7" t="s">
        <v>597</v>
      </c>
      <c r="G226" s="18">
        <v>46035</v>
      </c>
      <c r="H226" s="18">
        <v>46035</v>
      </c>
      <c r="I226" s="18">
        <v>46387</v>
      </c>
      <c r="J226" s="7" t="str">
        <f>VLOOKUP(D226,Droplist!A:C,3,0)</f>
        <v>Jens Pottschul</v>
      </c>
      <c r="K226" s="7" t="s">
        <v>182</v>
      </c>
      <c r="L226" s="7" t="s">
        <v>264</v>
      </c>
      <c r="M226" s="7" t="str">
        <f t="shared" si="6"/>
        <v>AWARDED</v>
      </c>
      <c r="N226" s="7"/>
      <c r="O226" s="7">
        <v>2300</v>
      </c>
      <c r="P226" s="7">
        <v>47</v>
      </c>
      <c r="Q226" s="13">
        <f t="shared" si="7"/>
        <v>48.936170212765958</v>
      </c>
      <c r="R226" s="7">
        <v>394</v>
      </c>
      <c r="S226" s="7">
        <v>33</v>
      </c>
      <c r="T226" s="7"/>
      <c r="U226" s="7">
        <v>0.224</v>
      </c>
      <c r="V226" s="9" t="s">
        <v>623</v>
      </c>
    </row>
    <row r="227" spans="1:22" ht="23.25" x14ac:dyDescent="0.25">
      <c r="A227" s="7">
        <v>1339</v>
      </c>
      <c r="B227" s="7">
        <v>2026</v>
      </c>
      <c r="C227" s="7" t="s">
        <v>261</v>
      </c>
      <c r="D227" s="7" t="s">
        <v>99</v>
      </c>
      <c r="E227" s="7" t="s">
        <v>479</v>
      </c>
      <c r="F227" s="7" t="s">
        <v>597</v>
      </c>
      <c r="G227" s="18">
        <v>45957</v>
      </c>
      <c r="H227" s="18">
        <v>46023</v>
      </c>
      <c r="I227" s="18">
        <v>46204</v>
      </c>
      <c r="J227" s="7" t="str">
        <f>VLOOKUP(D227,Droplist!A:C,3,0)</f>
        <v>Kevin Taylor</v>
      </c>
      <c r="K227" s="7"/>
      <c r="L227" s="7" t="s">
        <v>601</v>
      </c>
      <c r="M227" s="7" t="str">
        <f t="shared" si="6"/>
        <v>PENDING OUTCOME</v>
      </c>
      <c r="N227" s="7"/>
      <c r="O227" s="7">
        <v>6557</v>
      </c>
      <c r="P227" s="7">
        <v>139</v>
      </c>
      <c r="Q227" s="13">
        <f t="shared" si="7"/>
        <v>47.172661870503596</v>
      </c>
      <c r="R227" s="7"/>
      <c r="S227" s="7"/>
      <c r="T227" s="7">
        <v>96.127999999999986</v>
      </c>
      <c r="U227" s="7"/>
      <c r="V227" s="9" t="s">
        <v>624</v>
      </c>
    </row>
    <row r="228" spans="1:22" x14ac:dyDescent="0.25">
      <c r="A228" s="7">
        <v>1340</v>
      </c>
      <c r="B228" s="7">
        <v>2025</v>
      </c>
      <c r="C228" s="7" t="s">
        <v>261</v>
      </c>
      <c r="D228" s="7" t="s">
        <v>101</v>
      </c>
      <c r="E228" s="7" t="s">
        <v>625</v>
      </c>
      <c r="F228" s="7" t="s">
        <v>269</v>
      </c>
      <c r="G228" s="18">
        <v>45939</v>
      </c>
      <c r="H228" s="18">
        <v>45939</v>
      </c>
      <c r="I228" s="18">
        <v>46387</v>
      </c>
      <c r="J228" s="7" t="str">
        <f>VLOOKUP(D228,Droplist!A:C,3,0)</f>
        <v>Jakob Bluhme</v>
      </c>
      <c r="K228" s="7"/>
      <c r="L228" s="7" t="s">
        <v>267</v>
      </c>
      <c r="M228" s="7" t="str">
        <f t="shared" si="6"/>
        <v>NOT AWARDED</v>
      </c>
      <c r="N228" s="7" t="s">
        <v>626</v>
      </c>
      <c r="O228" s="7">
        <v>4967</v>
      </c>
      <c r="P228" s="7">
        <v>83</v>
      </c>
      <c r="Q228" s="13">
        <f t="shared" si="7"/>
        <v>59.843373493975903</v>
      </c>
      <c r="R228" s="7"/>
      <c r="S228" s="7"/>
      <c r="T228" s="7"/>
      <c r="U228" s="7"/>
      <c r="V228" s="9" t="s">
        <v>627</v>
      </c>
    </row>
    <row r="229" spans="1:22" x14ac:dyDescent="0.25">
      <c r="A229" s="7">
        <v>1341</v>
      </c>
      <c r="B229" s="7">
        <v>2026</v>
      </c>
      <c r="C229" s="7" t="s">
        <v>261</v>
      </c>
      <c r="D229" s="7" t="s">
        <v>81</v>
      </c>
      <c r="E229" s="7" t="s">
        <v>628</v>
      </c>
      <c r="F229" s="7" t="s">
        <v>597</v>
      </c>
      <c r="G229" s="18">
        <v>45939</v>
      </c>
      <c r="H229" s="18">
        <v>46023</v>
      </c>
      <c r="I229" s="18">
        <v>46203</v>
      </c>
      <c r="J229" s="7" t="str">
        <f>VLOOKUP(D229,Droplist!A:C,3,0)</f>
        <v>Jens Pottschul</v>
      </c>
      <c r="K229" s="7"/>
      <c r="L229" s="7" t="s">
        <v>267</v>
      </c>
      <c r="M229" s="7" t="str">
        <f t="shared" si="6"/>
        <v>NOT AWARDED</v>
      </c>
      <c r="N229" s="7" t="s">
        <v>354</v>
      </c>
      <c r="O229" s="7">
        <v>2430</v>
      </c>
      <c r="P229" s="7">
        <v>101</v>
      </c>
      <c r="Q229" s="13">
        <f t="shared" si="7"/>
        <v>24.059405940594058</v>
      </c>
      <c r="R229" s="7"/>
      <c r="S229" s="7"/>
      <c r="T229" s="7"/>
      <c r="U229" s="7"/>
      <c r="V229" s="9" t="s">
        <v>629</v>
      </c>
    </row>
    <row r="230" spans="1:22" x14ac:dyDescent="0.25">
      <c r="A230" s="7">
        <v>1342</v>
      </c>
      <c r="B230" s="7">
        <v>2026</v>
      </c>
      <c r="C230" s="7" t="s">
        <v>261</v>
      </c>
      <c r="D230" s="7" t="s">
        <v>185</v>
      </c>
      <c r="E230" s="7" t="s">
        <v>220</v>
      </c>
      <c r="F230" s="7" t="s">
        <v>597</v>
      </c>
      <c r="G230" s="18">
        <v>45943</v>
      </c>
      <c r="H230" s="18">
        <v>46023</v>
      </c>
      <c r="I230" s="18">
        <v>46387</v>
      </c>
      <c r="J230" s="7" t="str">
        <f>VLOOKUP(D230,Droplist!A:C,3,0)</f>
        <v>Jens Pottschul</v>
      </c>
      <c r="K230" s="7" t="s">
        <v>298</v>
      </c>
      <c r="L230" s="7" t="s">
        <v>601</v>
      </c>
      <c r="M230" s="7" t="str">
        <f t="shared" si="6"/>
        <v>PENDING OUTCOME</v>
      </c>
      <c r="N230" s="7"/>
      <c r="O230" s="7">
        <v>56109</v>
      </c>
      <c r="P230" s="7">
        <v>1924</v>
      </c>
      <c r="Q230" s="13">
        <f t="shared" si="7"/>
        <v>29.162681912681911</v>
      </c>
      <c r="R230" s="7"/>
      <c r="S230" s="7"/>
      <c r="T230" s="7"/>
      <c r="U230" s="7"/>
      <c r="V230" s="9"/>
    </row>
    <row r="231" spans="1:22" x14ac:dyDescent="0.25">
      <c r="A231" s="7">
        <v>1343</v>
      </c>
      <c r="B231" s="7">
        <v>2025</v>
      </c>
      <c r="C231" s="7" t="s">
        <v>261</v>
      </c>
      <c r="D231" s="7" t="s">
        <v>87</v>
      </c>
      <c r="E231" s="7" t="s">
        <v>630</v>
      </c>
      <c r="F231" s="7" t="s">
        <v>269</v>
      </c>
      <c r="G231" s="18">
        <v>45938</v>
      </c>
      <c r="H231" s="18">
        <v>45931</v>
      </c>
      <c r="I231" s="18">
        <v>46022</v>
      </c>
      <c r="J231" s="7" t="str">
        <f>VLOOKUP(D231,Droplist!A:C,3,0)</f>
        <v>Martin Schulz</v>
      </c>
      <c r="K231" s="7"/>
      <c r="L231" s="7" t="s">
        <v>267</v>
      </c>
      <c r="M231" s="7" t="str">
        <f t="shared" si="6"/>
        <v>NOT AWARDED</v>
      </c>
      <c r="N231" s="7" t="s">
        <v>595</v>
      </c>
      <c r="O231" s="7">
        <v>1797</v>
      </c>
      <c r="P231" s="7">
        <v>37</v>
      </c>
      <c r="Q231" s="13">
        <f t="shared" si="7"/>
        <v>48.567567567567565</v>
      </c>
      <c r="R231" s="7"/>
      <c r="S231" s="7"/>
      <c r="T231" s="7"/>
      <c r="U231" s="7"/>
      <c r="V231" s="9" t="s">
        <v>631</v>
      </c>
    </row>
    <row r="232" spans="1:22" x14ac:dyDescent="0.25">
      <c r="A232" s="7">
        <v>1344</v>
      </c>
      <c r="B232" s="7">
        <v>2025</v>
      </c>
      <c r="C232" s="7" t="s">
        <v>261</v>
      </c>
      <c r="D232" s="7" t="s">
        <v>84</v>
      </c>
      <c r="E232" s="7" t="s">
        <v>632</v>
      </c>
      <c r="F232" s="7" t="s">
        <v>269</v>
      </c>
      <c r="G232" s="18">
        <v>45950</v>
      </c>
      <c r="H232" s="18">
        <v>45962</v>
      </c>
      <c r="I232" s="18">
        <v>46022</v>
      </c>
      <c r="J232" s="7" t="str">
        <f>VLOOKUP(D232,Droplist!A:C,3,0)</f>
        <v>Martin Schulz</v>
      </c>
      <c r="K232" s="7"/>
      <c r="L232" s="7" t="s">
        <v>601</v>
      </c>
      <c r="M232" s="7" t="str">
        <f t="shared" si="6"/>
        <v>PENDING OUTCOME</v>
      </c>
      <c r="N232" s="7" t="s">
        <v>298</v>
      </c>
      <c r="O232" s="7">
        <v>20000</v>
      </c>
      <c r="P232" s="7">
        <v>1768</v>
      </c>
      <c r="Q232" s="13">
        <f t="shared" si="7"/>
        <v>11.312217194570136</v>
      </c>
      <c r="R232" s="7"/>
      <c r="S232" s="7"/>
      <c r="T232" s="7">
        <v>155.87199999999999</v>
      </c>
      <c r="U232" s="7">
        <v>1.256</v>
      </c>
      <c r="V232" s="9"/>
    </row>
    <row r="233" spans="1:22" x14ac:dyDescent="0.25">
      <c r="A233" s="7">
        <v>1345</v>
      </c>
      <c r="B233" s="7">
        <v>2025</v>
      </c>
      <c r="C233" s="7" t="s">
        <v>261</v>
      </c>
      <c r="D233" s="7" t="s">
        <v>101</v>
      </c>
      <c r="E233" s="7" t="s">
        <v>632</v>
      </c>
      <c r="F233" s="7" t="s">
        <v>269</v>
      </c>
      <c r="G233" s="18">
        <v>45954</v>
      </c>
      <c r="H233" s="18">
        <v>45962</v>
      </c>
      <c r="I233" s="18">
        <v>46112</v>
      </c>
      <c r="J233" s="7" t="str">
        <f>VLOOKUP(D233,Droplist!A:C,3,0)</f>
        <v>Jakob Bluhme</v>
      </c>
      <c r="K233" s="7"/>
      <c r="L233" s="7" t="s">
        <v>267</v>
      </c>
      <c r="M233" s="7" t="str">
        <f t="shared" si="6"/>
        <v>NOT AWARDED</v>
      </c>
      <c r="N233" s="7" t="s">
        <v>633</v>
      </c>
      <c r="O233" s="7">
        <v>1919</v>
      </c>
      <c r="P233" s="7">
        <v>204</v>
      </c>
      <c r="Q233" s="13">
        <f t="shared" si="7"/>
        <v>9.4068627450980387</v>
      </c>
      <c r="R233" s="7"/>
      <c r="S233" s="7"/>
      <c r="T233" s="7"/>
      <c r="U233" s="7"/>
      <c r="V233" s="9" t="s">
        <v>634</v>
      </c>
    </row>
    <row r="234" spans="1:22" x14ac:dyDescent="0.25">
      <c r="A234" s="7">
        <v>1346</v>
      </c>
      <c r="B234" s="7">
        <v>2025</v>
      </c>
      <c r="C234" s="7" t="s">
        <v>296</v>
      </c>
      <c r="D234" s="7" t="s">
        <v>48</v>
      </c>
      <c r="E234" s="7" t="s">
        <v>635</v>
      </c>
      <c r="F234" s="7" t="s">
        <v>269</v>
      </c>
      <c r="G234" s="18"/>
      <c r="H234" s="18">
        <v>45931</v>
      </c>
      <c r="I234" s="18">
        <v>46053</v>
      </c>
      <c r="J234" s="7" t="str">
        <f>VLOOKUP(D234,Droplist!A:C,3,0)</f>
        <v>Jakob Bluhme</v>
      </c>
      <c r="K234" s="7" t="s">
        <v>635</v>
      </c>
      <c r="L234" s="7" t="s">
        <v>264</v>
      </c>
      <c r="M234" s="7" t="str">
        <f t="shared" si="6"/>
        <v>AWARDED</v>
      </c>
      <c r="N234" s="7"/>
      <c r="O234" s="7">
        <v>1490</v>
      </c>
      <c r="P234" s="7">
        <v>28</v>
      </c>
      <c r="Q234" s="13">
        <f t="shared" si="7"/>
        <v>53.214285714285715</v>
      </c>
      <c r="R234" s="7">
        <v>500</v>
      </c>
      <c r="S234" s="7">
        <v>45</v>
      </c>
      <c r="T234" s="7">
        <v>43.283999999999999</v>
      </c>
      <c r="U234" s="7">
        <v>10.128</v>
      </c>
      <c r="V234" s="9"/>
    </row>
    <row r="235" spans="1:22" x14ac:dyDescent="0.25">
      <c r="A235" s="7">
        <v>1347</v>
      </c>
      <c r="B235" s="7">
        <v>2025</v>
      </c>
      <c r="C235" s="7" t="s">
        <v>296</v>
      </c>
      <c r="D235" s="7" t="s">
        <v>48</v>
      </c>
      <c r="E235" s="7" t="s">
        <v>537</v>
      </c>
      <c r="F235" s="7" t="s">
        <v>269</v>
      </c>
      <c r="G235" s="18"/>
      <c r="H235" s="18">
        <v>45870</v>
      </c>
      <c r="I235" s="18">
        <v>46234</v>
      </c>
      <c r="J235" s="7" t="str">
        <f>VLOOKUP(D235,Droplist!A:C,3,0)</f>
        <v>Jakob Bluhme</v>
      </c>
      <c r="K235" s="7" t="s">
        <v>537</v>
      </c>
      <c r="L235" s="7" t="s">
        <v>264</v>
      </c>
      <c r="M235" s="7" t="str">
        <f t="shared" si="6"/>
        <v>MAINTENANCE</v>
      </c>
      <c r="N235" s="7"/>
      <c r="O235" s="7">
        <v>3646</v>
      </c>
      <c r="P235" s="7">
        <v>22</v>
      </c>
      <c r="Q235" s="13">
        <f t="shared" si="7"/>
        <v>165.72727272727272</v>
      </c>
      <c r="R235" s="7">
        <v>600</v>
      </c>
      <c r="S235" s="7">
        <v>50</v>
      </c>
      <c r="T235" s="7">
        <v>468.286</v>
      </c>
      <c r="U235" s="7"/>
      <c r="V235" s="9"/>
    </row>
    <row r="236" spans="1:22" ht="23.25" x14ac:dyDescent="0.25">
      <c r="A236" s="7">
        <v>1348</v>
      </c>
      <c r="B236" s="7">
        <v>2026</v>
      </c>
      <c r="C236" s="7" t="s">
        <v>261</v>
      </c>
      <c r="D236" s="7" t="s">
        <v>97</v>
      </c>
      <c r="E236" s="7" t="s">
        <v>636</v>
      </c>
      <c r="F236" s="7" t="s">
        <v>637</v>
      </c>
      <c r="G236" s="18">
        <v>45975</v>
      </c>
      <c r="H236" s="18">
        <v>46023</v>
      </c>
      <c r="I236" s="18">
        <v>46387</v>
      </c>
      <c r="J236" s="7" t="str">
        <f>VLOOKUP(D236,Droplist!A:C,3,0)</f>
        <v>Jakob Bluhme / Tom Hine</v>
      </c>
      <c r="K236" s="7"/>
      <c r="L236" s="7" t="s">
        <v>601</v>
      </c>
      <c r="M236" s="7" t="str">
        <f t="shared" si="6"/>
        <v>PENDING OUTCOME</v>
      </c>
      <c r="N236" s="7"/>
      <c r="O236" s="7">
        <v>1500.63</v>
      </c>
      <c r="P236" s="7">
        <v>66</v>
      </c>
      <c r="Q236" s="13">
        <f t="shared" si="7"/>
        <v>22.736818181818183</v>
      </c>
      <c r="R236" s="7"/>
      <c r="S236" s="7"/>
      <c r="T236" s="7">
        <v>27.789000000000001</v>
      </c>
      <c r="U236" s="7">
        <v>5.1040000000000001</v>
      </c>
      <c r="V236" s="9" t="s">
        <v>638</v>
      </c>
    </row>
    <row r="237" spans="1:22" x14ac:dyDescent="0.25">
      <c r="A237" s="7">
        <v>1349</v>
      </c>
      <c r="B237" s="7">
        <v>2026</v>
      </c>
      <c r="C237" s="7" t="s">
        <v>261</v>
      </c>
      <c r="D237" s="7" t="s">
        <v>80</v>
      </c>
      <c r="E237" s="7" t="s">
        <v>639</v>
      </c>
      <c r="F237" s="7" t="s">
        <v>617</v>
      </c>
      <c r="G237" s="18">
        <v>45246</v>
      </c>
      <c r="H237" s="18">
        <v>46023</v>
      </c>
      <c r="I237" s="18">
        <v>46112</v>
      </c>
      <c r="J237" s="7" t="str">
        <f>VLOOKUP(D237,Droplist!A:C,3,0)</f>
        <v>Jens Pottschul</v>
      </c>
      <c r="K237" s="7"/>
      <c r="L237" s="7" t="s">
        <v>601</v>
      </c>
      <c r="M237" s="7" t="str">
        <f t="shared" si="6"/>
        <v>PENDING OUTCOME</v>
      </c>
      <c r="N237" s="7"/>
      <c r="O237" s="7">
        <v>2577</v>
      </c>
      <c r="P237" s="7">
        <v>36</v>
      </c>
      <c r="Q237" s="13">
        <f t="shared" si="7"/>
        <v>71.583333333333329</v>
      </c>
      <c r="R237" s="7"/>
      <c r="S237" s="7"/>
      <c r="T237" s="7"/>
      <c r="U237" s="7"/>
      <c r="V237" s="9" t="s">
        <v>640</v>
      </c>
    </row>
    <row r="238" spans="1:22" x14ac:dyDescent="0.25">
      <c r="A238" s="7">
        <v>1350</v>
      </c>
      <c r="B238" s="7">
        <v>2026</v>
      </c>
      <c r="C238" s="7" t="s">
        <v>261</v>
      </c>
      <c r="D238" s="7" t="s">
        <v>94</v>
      </c>
      <c r="E238" s="7" t="s">
        <v>196</v>
      </c>
      <c r="F238" s="7" t="s">
        <v>597</v>
      </c>
      <c r="G238" s="18">
        <v>45959</v>
      </c>
      <c r="H238" s="18">
        <v>46023</v>
      </c>
      <c r="I238" s="18">
        <v>46112</v>
      </c>
      <c r="J238" s="7" t="str">
        <f>VLOOKUP(D238,Droplist!A:C,3,0)</f>
        <v>Jens Pottschul</v>
      </c>
      <c r="K238" s="7"/>
      <c r="L238" s="7" t="s">
        <v>601</v>
      </c>
      <c r="M238" s="7" t="str">
        <f t="shared" si="6"/>
        <v>PENDING OUTCOME</v>
      </c>
      <c r="N238" s="7"/>
      <c r="O238" s="7">
        <v>4062041</v>
      </c>
      <c r="P238" s="7">
        <v>585</v>
      </c>
      <c r="Q238" s="13">
        <f t="shared" si="7"/>
        <v>6943.6598290598295</v>
      </c>
      <c r="R238" s="7"/>
      <c r="S238" s="7"/>
      <c r="T238" s="7"/>
      <c r="U238" s="7"/>
      <c r="V238" s="9"/>
    </row>
    <row r="239" spans="1:22" ht="23.25" x14ac:dyDescent="0.25">
      <c r="A239" s="7">
        <v>1351</v>
      </c>
      <c r="B239" s="7">
        <v>2025</v>
      </c>
      <c r="C239" s="7" t="s">
        <v>261</v>
      </c>
      <c r="D239" s="7" t="s">
        <v>75</v>
      </c>
      <c r="E239" s="7" t="s">
        <v>639</v>
      </c>
      <c r="F239" s="7" t="s">
        <v>269</v>
      </c>
      <c r="G239" s="18">
        <v>45959</v>
      </c>
      <c r="H239" s="18">
        <v>45959</v>
      </c>
      <c r="I239" s="18">
        <v>46112</v>
      </c>
      <c r="J239" s="7" t="str">
        <f>VLOOKUP(D239,Droplist!A:C,3,0)</f>
        <v>Martin Schulz</v>
      </c>
      <c r="K239" s="7"/>
      <c r="L239" s="7" t="s">
        <v>267</v>
      </c>
      <c r="M239" s="7" t="str">
        <f t="shared" si="6"/>
        <v>NOT AWARDED</v>
      </c>
      <c r="N239" s="7"/>
      <c r="O239" s="7">
        <v>2557</v>
      </c>
      <c r="P239" s="7">
        <v>35</v>
      </c>
      <c r="Q239" s="13">
        <f t="shared" si="7"/>
        <v>73.057142857142864</v>
      </c>
      <c r="R239" s="7"/>
      <c r="S239" s="7"/>
      <c r="T239" s="7"/>
      <c r="U239" s="7"/>
      <c r="V239" s="9" t="s">
        <v>641</v>
      </c>
    </row>
    <row r="240" spans="1:22" ht="23.25" x14ac:dyDescent="0.25">
      <c r="A240" s="7">
        <v>1352</v>
      </c>
      <c r="B240" s="7">
        <v>2026</v>
      </c>
      <c r="C240" s="7" t="s">
        <v>261</v>
      </c>
      <c r="D240" s="7" t="s">
        <v>234</v>
      </c>
      <c r="E240" s="7" t="s">
        <v>632</v>
      </c>
      <c r="F240" s="7" t="s">
        <v>597</v>
      </c>
      <c r="G240" s="18">
        <v>46038</v>
      </c>
      <c r="H240" s="18">
        <v>46038</v>
      </c>
      <c r="I240" s="18">
        <v>46112</v>
      </c>
      <c r="J240" s="7" t="str">
        <f>VLOOKUP(D240,Droplist!A:C,3,0)</f>
        <v>Chris Crowder</v>
      </c>
      <c r="K240" s="7"/>
      <c r="L240" s="7" t="s">
        <v>601</v>
      </c>
      <c r="M240" s="7" t="str">
        <f t="shared" si="6"/>
        <v>PENDING OUTCOME</v>
      </c>
      <c r="N240" s="7"/>
      <c r="O240" s="7">
        <v>3543</v>
      </c>
      <c r="P240" s="7">
        <v>432</v>
      </c>
      <c r="Q240" s="13">
        <f t="shared" si="7"/>
        <v>8.2013888888888893</v>
      </c>
      <c r="R240" s="7"/>
      <c r="S240" s="7"/>
      <c r="T240" s="7"/>
      <c r="U240" s="7"/>
      <c r="V240" s="9" t="s">
        <v>642</v>
      </c>
    </row>
    <row r="241" spans="1:22" ht="23.25" x14ac:dyDescent="0.25">
      <c r="A241" s="7">
        <v>1353</v>
      </c>
      <c r="B241" s="7">
        <v>2025</v>
      </c>
      <c r="C241" s="7" t="s">
        <v>261</v>
      </c>
      <c r="D241" s="7" t="s">
        <v>45</v>
      </c>
      <c r="E241" s="7" t="s">
        <v>643</v>
      </c>
      <c r="F241" s="7" t="s">
        <v>269</v>
      </c>
      <c r="G241" s="18">
        <v>45961</v>
      </c>
      <c r="H241" s="18">
        <v>45961</v>
      </c>
      <c r="I241" s="18">
        <v>46112</v>
      </c>
      <c r="J241" s="7" t="str">
        <f>VLOOKUP(D241,Droplist!A:C,3,0)</f>
        <v>Dennis Frankowski</v>
      </c>
      <c r="K241" s="7"/>
      <c r="L241" s="7" t="s">
        <v>601</v>
      </c>
      <c r="M241" s="7" t="str">
        <f t="shared" si="6"/>
        <v>PENDING OUTCOME</v>
      </c>
      <c r="N241" s="7"/>
      <c r="O241" s="7">
        <v>3407</v>
      </c>
      <c r="P241" s="7">
        <v>72</v>
      </c>
      <c r="Q241" s="13">
        <f t="shared" si="7"/>
        <v>47.319444444444443</v>
      </c>
      <c r="R241" s="7"/>
      <c r="S241" s="7"/>
      <c r="T241" s="7"/>
      <c r="U241" s="7"/>
      <c r="V241" s="9" t="s">
        <v>644</v>
      </c>
    </row>
    <row r="242" spans="1:22" x14ac:dyDescent="0.25">
      <c r="A242" s="7">
        <v>1354</v>
      </c>
      <c r="B242" s="7">
        <v>2025</v>
      </c>
      <c r="C242" s="7" t="s">
        <v>261</v>
      </c>
      <c r="D242" s="7" t="s">
        <v>107</v>
      </c>
      <c r="E242" s="7" t="s">
        <v>645</v>
      </c>
      <c r="F242" s="7" t="s">
        <v>269</v>
      </c>
      <c r="G242" s="18">
        <v>45961</v>
      </c>
      <c r="H242" s="18">
        <v>45961</v>
      </c>
      <c r="I242" s="18">
        <v>46203</v>
      </c>
      <c r="J242" s="7" t="str">
        <f>VLOOKUP(D242,Droplist!A:C,3,0)</f>
        <v>Jens Pottschul</v>
      </c>
      <c r="K242" s="7"/>
      <c r="L242" s="7" t="s">
        <v>601</v>
      </c>
      <c r="M242" s="7" t="str">
        <f t="shared" si="6"/>
        <v>PENDING OUTCOME</v>
      </c>
      <c r="N242" s="7"/>
      <c r="O242" s="7">
        <v>1944.47</v>
      </c>
      <c r="P242" s="7">
        <v>40</v>
      </c>
      <c r="Q242" s="13">
        <f t="shared" si="7"/>
        <v>48.611750000000001</v>
      </c>
      <c r="R242" s="7"/>
      <c r="S242" s="7"/>
      <c r="T242" s="7"/>
      <c r="U242" s="7"/>
      <c r="V242" s="9" t="s">
        <v>631</v>
      </c>
    </row>
    <row r="243" spans="1:22" x14ac:dyDescent="0.25">
      <c r="A243" s="7">
        <v>1355</v>
      </c>
      <c r="B243" s="7">
        <v>2026</v>
      </c>
      <c r="C243" s="7" t="s">
        <v>261</v>
      </c>
      <c r="D243" s="7" t="s">
        <v>107</v>
      </c>
      <c r="E243" s="7" t="s">
        <v>643</v>
      </c>
      <c r="F243" s="7" t="s">
        <v>597</v>
      </c>
      <c r="G243" s="18">
        <v>45964</v>
      </c>
      <c r="H243" s="18">
        <v>46023</v>
      </c>
      <c r="I243" s="18">
        <v>46112</v>
      </c>
      <c r="J243" s="7" t="str">
        <f>VLOOKUP(D243,Droplist!A:C,3,0)</f>
        <v>Jens Pottschul</v>
      </c>
      <c r="K243" s="7"/>
      <c r="L243" s="7" t="s">
        <v>601</v>
      </c>
      <c r="M243" s="7" t="str">
        <f t="shared" si="6"/>
        <v>PENDING OUTCOME</v>
      </c>
      <c r="N243" s="7"/>
      <c r="O243" s="7">
        <v>4922</v>
      </c>
      <c r="P243" s="7">
        <v>113</v>
      </c>
      <c r="Q243" s="13">
        <f t="shared" si="7"/>
        <v>43.557522123893804</v>
      </c>
      <c r="R243" s="7"/>
      <c r="S243" s="7"/>
      <c r="T243" s="7"/>
      <c r="U243" s="7"/>
      <c r="V243" s="9"/>
    </row>
    <row r="244" spans="1:22" x14ac:dyDescent="0.25">
      <c r="A244" s="7">
        <v>1356</v>
      </c>
      <c r="B244" s="7">
        <v>2025</v>
      </c>
      <c r="C244" s="7" t="s">
        <v>261</v>
      </c>
      <c r="D244" s="7" t="s">
        <v>407</v>
      </c>
      <c r="E244" s="7" t="s">
        <v>646</v>
      </c>
      <c r="F244" s="7" t="s">
        <v>269</v>
      </c>
      <c r="G244" s="18">
        <v>45967</v>
      </c>
      <c r="H244" s="18">
        <v>45967</v>
      </c>
      <c r="I244" s="18">
        <v>46112</v>
      </c>
      <c r="J244" s="7" t="str">
        <f>VLOOKUP(D244,Droplist!A:C,3,0)</f>
        <v xml:space="preserve">Roberta MacLeod-Stuart </v>
      </c>
      <c r="K244" s="7"/>
      <c r="L244" s="7" t="s">
        <v>267</v>
      </c>
      <c r="M244" s="7" t="str">
        <f t="shared" si="6"/>
        <v>NOT AWARDED</v>
      </c>
      <c r="N244" s="7" t="s">
        <v>611</v>
      </c>
      <c r="O244" s="7">
        <v>2633</v>
      </c>
      <c r="P244" s="7">
        <v>98</v>
      </c>
      <c r="Q244" s="13">
        <f t="shared" si="7"/>
        <v>26.867346938775512</v>
      </c>
      <c r="R244" s="7"/>
      <c r="S244" s="7"/>
      <c r="T244" s="7"/>
      <c r="U244" s="7"/>
      <c r="V244" s="9" t="s">
        <v>612</v>
      </c>
    </row>
    <row r="245" spans="1:22" x14ac:dyDescent="0.25">
      <c r="A245" s="7">
        <v>1357</v>
      </c>
      <c r="B245" s="7">
        <v>2025</v>
      </c>
      <c r="C245" s="7" t="s">
        <v>261</v>
      </c>
      <c r="D245" s="7" t="s">
        <v>97</v>
      </c>
      <c r="E245" s="7" t="s">
        <v>647</v>
      </c>
      <c r="F245" s="7" t="s">
        <v>269</v>
      </c>
      <c r="G245" s="18">
        <v>45968</v>
      </c>
      <c r="H245" s="18">
        <v>45976</v>
      </c>
      <c r="I245" s="18">
        <v>46142</v>
      </c>
      <c r="J245" s="7" t="str">
        <f>VLOOKUP(D245,Droplist!A:C,3,0)</f>
        <v>Jakob Bluhme / Tom Hine</v>
      </c>
      <c r="K245" s="7"/>
      <c r="L245" s="7" t="s">
        <v>267</v>
      </c>
      <c r="M245" s="7" t="str">
        <f t="shared" si="6"/>
        <v>NOT AWARDED</v>
      </c>
      <c r="N245" s="7" t="s">
        <v>648</v>
      </c>
      <c r="O245" s="7">
        <v>2407</v>
      </c>
      <c r="P245" s="7">
        <v>176</v>
      </c>
      <c r="Q245" s="13">
        <f t="shared" si="7"/>
        <v>13.676136363636363</v>
      </c>
      <c r="R245" s="7"/>
      <c r="S245" s="7"/>
      <c r="T245" s="7"/>
      <c r="U245" s="7"/>
      <c r="V245" s="9"/>
    </row>
    <row r="246" spans="1:22" x14ac:dyDescent="0.25">
      <c r="A246" s="7">
        <v>1358</v>
      </c>
      <c r="B246" s="7">
        <v>2025</v>
      </c>
      <c r="C246" s="7" t="s">
        <v>261</v>
      </c>
      <c r="D246" s="7" t="s">
        <v>107</v>
      </c>
      <c r="E246" s="7" t="s">
        <v>649</v>
      </c>
      <c r="F246" s="7" t="s">
        <v>269</v>
      </c>
      <c r="G246" s="18">
        <v>45968</v>
      </c>
      <c r="H246" s="18">
        <v>45968</v>
      </c>
      <c r="I246" s="18">
        <v>46112</v>
      </c>
      <c r="J246" s="7" t="str">
        <f>VLOOKUP(D246,Droplist!A:C,3,0)</f>
        <v>Jens Pottschul</v>
      </c>
      <c r="K246" s="7"/>
      <c r="L246" s="7" t="s">
        <v>601</v>
      </c>
      <c r="M246" s="7" t="str">
        <f t="shared" si="6"/>
        <v>PENDING OUTCOME</v>
      </c>
      <c r="N246" s="7"/>
      <c r="O246" s="7">
        <v>2000</v>
      </c>
      <c r="P246" s="7">
        <v>38</v>
      </c>
      <c r="Q246" s="13">
        <f t="shared" si="7"/>
        <v>52.631578947368418</v>
      </c>
      <c r="R246" s="7"/>
      <c r="S246" s="7"/>
      <c r="T246" s="7"/>
      <c r="U246" s="7"/>
      <c r="V246" s="9" t="s">
        <v>631</v>
      </c>
    </row>
    <row r="247" spans="1:22" x14ac:dyDescent="0.25">
      <c r="A247" s="7">
        <v>1359</v>
      </c>
      <c r="B247" s="7">
        <v>2026</v>
      </c>
      <c r="C247" s="7" t="s">
        <v>261</v>
      </c>
      <c r="D247" s="7" t="s">
        <v>407</v>
      </c>
      <c r="E247" s="7" t="s">
        <v>650</v>
      </c>
      <c r="F247" s="7" t="s">
        <v>597</v>
      </c>
      <c r="G247" s="18">
        <v>45972</v>
      </c>
      <c r="H247" s="18">
        <v>46023</v>
      </c>
      <c r="I247" s="18">
        <v>46203</v>
      </c>
      <c r="J247" s="7" t="str">
        <f>VLOOKUP(D247,Droplist!A:C,3,0)</f>
        <v xml:space="preserve">Roberta MacLeod-Stuart </v>
      </c>
      <c r="K247" s="7"/>
      <c r="L247" s="7" t="s">
        <v>267</v>
      </c>
      <c r="M247" s="7" t="str">
        <f t="shared" si="6"/>
        <v>NOT AWARDED</v>
      </c>
      <c r="N247" s="7" t="s">
        <v>651</v>
      </c>
      <c r="O247" s="7">
        <v>6145</v>
      </c>
      <c r="P247" s="7">
        <v>69</v>
      </c>
      <c r="Q247" s="13">
        <f t="shared" si="7"/>
        <v>89.05797101449275</v>
      </c>
      <c r="R247" s="7"/>
      <c r="S247" s="7"/>
      <c r="T247" s="7"/>
      <c r="U247" s="7"/>
      <c r="V247" s="9" t="s">
        <v>612</v>
      </c>
    </row>
    <row r="248" spans="1:22" x14ac:dyDescent="0.25">
      <c r="A248" s="7">
        <v>1360</v>
      </c>
      <c r="B248" s="7">
        <v>2026</v>
      </c>
      <c r="C248" s="7" t="s">
        <v>261</v>
      </c>
      <c r="D248" s="7" t="s">
        <v>207</v>
      </c>
      <c r="E248" s="7" t="s">
        <v>233</v>
      </c>
      <c r="F248" s="7" t="s">
        <v>597</v>
      </c>
      <c r="G248" s="18">
        <v>46111</v>
      </c>
      <c r="H248" s="18">
        <v>46113</v>
      </c>
      <c r="I248" s="18">
        <v>46203</v>
      </c>
      <c r="J248" s="7" t="str">
        <f>VLOOKUP(D248,Droplist!A:C,3,0)</f>
        <v>Jens Pottschul</v>
      </c>
      <c r="K248" s="7"/>
      <c r="L248" s="7" t="s">
        <v>601</v>
      </c>
      <c r="M248" s="7" t="str">
        <f t="shared" si="6"/>
        <v>PENDING OUTCOME</v>
      </c>
      <c r="N248" s="7"/>
      <c r="O248" s="7">
        <v>2208</v>
      </c>
      <c r="P248" s="7">
        <v>30</v>
      </c>
      <c r="Q248" s="13">
        <f t="shared" si="7"/>
        <v>73.599999999999994</v>
      </c>
      <c r="R248" s="7" t="s">
        <v>335</v>
      </c>
      <c r="S248" s="7"/>
      <c r="T248" s="7"/>
      <c r="U248" s="7"/>
      <c r="V248" s="9" t="s">
        <v>652</v>
      </c>
    </row>
    <row r="249" spans="1:22" ht="23.25" x14ac:dyDescent="0.25">
      <c r="A249" s="7">
        <v>1361</v>
      </c>
      <c r="B249" s="7">
        <v>2025</v>
      </c>
      <c r="C249" s="7" t="s">
        <v>261</v>
      </c>
      <c r="D249" s="7" t="s">
        <v>407</v>
      </c>
      <c r="E249" s="7" t="s">
        <v>653</v>
      </c>
      <c r="F249" s="7" t="s">
        <v>269</v>
      </c>
      <c r="G249" s="18">
        <v>45972</v>
      </c>
      <c r="H249" s="18">
        <v>45992</v>
      </c>
      <c r="I249" s="18">
        <v>46356</v>
      </c>
      <c r="J249" s="7" t="str">
        <f>VLOOKUP(D249,Droplist!A:C,3,0)</f>
        <v xml:space="preserve">Roberta MacLeod-Stuart </v>
      </c>
      <c r="K249" s="7"/>
      <c r="L249" s="7" t="s">
        <v>601</v>
      </c>
      <c r="M249" s="7" t="str">
        <f t="shared" si="6"/>
        <v>PENDING OUTCOME</v>
      </c>
      <c r="N249" s="7"/>
      <c r="O249" s="7">
        <v>4211</v>
      </c>
      <c r="P249" s="7">
        <v>152</v>
      </c>
      <c r="Q249" s="13">
        <f t="shared" si="7"/>
        <v>27.703947368421051</v>
      </c>
      <c r="R249" s="7"/>
      <c r="S249" s="7"/>
      <c r="T249" s="7"/>
      <c r="U249" s="7"/>
      <c r="V249" s="9" t="s">
        <v>654</v>
      </c>
    </row>
    <row r="250" spans="1:22" x14ac:dyDescent="0.25">
      <c r="A250" s="7">
        <v>1362</v>
      </c>
      <c r="B250" s="7">
        <v>2026</v>
      </c>
      <c r="C250" s="7" t="s">
        <v>261</v>
      </c>
      <c r="D250" s="7" t="s">
        <v>80</v>
      </c>
      <c r="E250" s="7" t="s">
        <v>288</v>
      </c>
      <c r="F250" s="7" t="s">
        <v>617</v>
      </c>
      <c r="G250" s="18">
        <v>46104</v>
      </c>
      <c r="H250" s="18">
        <v>46113</v>
      </c>
      <c r="I250" s="18">
        <v>46203</v>
      </c>
      <c r="J250" s="7" t="str">
        <f>VLOOKUP(D250,Droplist!A:C,3,0)</f>
        <v>Jens Pottschul</v>
      </c>
      <c r="K250" s="7"/>
      <c r="L250" s="7" t="s">
        <v>601</v>
      </c>
      <c r="M250" s="7" t="str">
        <f t="shared" si="6"/>
        <v>PENDING OUTCOME</v>
      </c>
      <c r="N250" s="7"/>
      <c r="O250" s="7">
        <v>12652</v>
      </c>
      <c r="P250" s="7">
        <v>174</v>
      </c>
      <c r="Q250" s="13">
        <f t="shared" si="7"/>
        <v>72.712643678160916</v>
      </c>
      <c r="R250" s="7"/>
      <c r="S250" s="7"/>
      <c r="T250" s="7">
        <v>569.0920000000001</v>
      </c>
      <c r="U250" s="7">
        <v>93.383999999999986</v>
      </c>
      <c r="V250" s="9" t="s">
        <v>655</v>
      </c>
    </row>
    <row r="251" spans="1:22" x14ac:dyDescent="0.25">
      <c r="A251" s="7">
        <v>1363</v>
      </c>
      <c r="B251" s="7">
        <v>2026</v>
      </c>
      <c r="C251" s="7" t="s">
        <v>261</v>
      </c>
      <c r="D251" s="7" t="s">
        <v>84</v>
      </c>
      <c r="E251" s="7" t="s">
        <v>656</v>
      </c>
      <c r="F251" s="7" t="s">
        <v>637</v>
      </c>
      <c r="G251" s="18">
        <v>45975</v>
      </c>
      <c r="H251" s="18">
        <v>46023</v>
      </c>
      <c r="I251" s="18">
        <v>46112</v>
      </c>
      <c r="J251" s="7" t="str">
        <f>VLOOKUP(D251,Droplist!A:C,3,0)</f>
        <v>Martin Schulz</v>
      </c>
      <c r="K251" s="7"/>
      <c r="L251" s="7" t="s">
        <v>601</v>
      </c>
      <c r="M251" s="7" t="str">
        <f t="shared" si="6"/>
        <v>PENDING OUTCOME</v>
      </c>
      <c r="N251" s="7"/>
      <c r="O251" s="7">
        <v>1159.47</v>
      </c>
      <c r="P251" s="7">
        <v>333</v>
      </c>
      <c r="Q251" s="13">
        <f t="shared" si="7"/>
        <v>3.481891891891892</v>
      </c>
      <c r="R251" s="7"/>
      <c r="S251" s="7"/>
      <c r="T251" s="7">
        <v>357.60499999999996</v>
      </c>
      <c r="U251" s="7">
        <v>9.8759999999999994</v>
      </c>
      <c r="V251" s="9" t="s">
        <v>657</v>
      </c>
    </row>
    <row r="252" spans="1:22" x14ac:dyDescent="0.25">
      <c r="A252" s="7">
        <v>1364</v>
      </c>
      <c r="B252" s="7">
        <v>2025</v>
      </c>
      <c r="C252" s="7" t="s">
        <v>261</v>
      </c>
      <c r="D252" s="7" t="s">
        <v>410</v>
      </c>
      <c r="E252" s="7" t="s">
        <v>658</v>
      </c>
      <c r="F252" s="7" t="s">
        <v>269</v>
      </c>
      <c r="G252" s="18">
        <v>45975</v>
      </c>
      <c r="H252" s="18">
        <v>45975</v>
      </c>
      <c r="I252" s="18">
        <v>46022</v>
      </c>
      <c r="J252" s="7" t="str">
        <f>VLOOKUP(D252,Droplist!A:C,3,0)</f>
        <v>Sylvia Lathouwers</v>
      </c>
      <c r="K252" s="7"/>
      <c r="L252" s="7" t="s">
        <v>267</v>
      </c>
      <c r="M252" s="7" t="str">
        <f t="shared" si="6"/>
        <v>NOT AWARDED</v>
      </c>
      <c r="N252" s="7" t="s">
        <v>659</v>
      </c>
      <c r="O252" s="7">
        <v>1000</v>
      </c>
      <c r="P252" s="7">
        <v>70</v>
      </c>
      <c r="Q252" s="13">
        <f t="shared" si="7"/>
        <v>14.285714285714286</v>
      </c>
      <c r="R252" s="7"/>
      <c r="S252" s="7"/>
      <c r="T252" s="7"/>
      <c r="U252" s="7"/>
      <c r="V252" s="9" t="s">
        <v>631</v>
      </c>
    </row>
    <row r="253" spans="1:22" x14ac:dyDescent="0.25">
      <c r="A253" s="7">
        <v>1365</v>
      </c>
      <c r="B253" s="7">
        <v>2026</v>
      </c>
      <c r="C253" s="7" t="s">
        <v>261</v>
      </c>
      <c r="D253" s="7" t="s">
        <v>68</v>
      </c>
      <c r="E253" s="7" t="s">
        <v>632</v>
      </c>
      <c r="F253" s="7" t="s">
        <v>597</v>
      </c>
      <c r="G253" s="18">
        <v>45980</v>
      </c>
      <c r="H253" s="18">
        <v>46023</v>
      </c>
      <c r="I253" s="18">
        <v>46112</v>
      </c>
      <c r="J253" s="7" t="str">
        <f>VLOOKUP(D253,Droplist!A:C,3,0)</f>
        <v>Mette B. Karapetian</v>
      </c>
      <c r="K253" s="7"/>
      <c r="L253" s="7" t="s">
        <v>601</v>
      </c>
      <c r="M253" s="7" t="str">
        <f t="shared" si="6"/>
        <v>PENDING OUTCOME</v>
      </c>
      <c r="N253" s="7"/>
      <c r="O253" s="7">
        <v>1058</v>
      </c>
      <c r="P253" s="7">
        <v>53</v>
      </c>
      <c r="Q253" s="13">
        <f t="shared" si="7"/>
        <v>19.962264150943398</v>
      </c>
      <c r="R253" s="7"/>
      <c r="S253" s="7"/>
      <c r="T253" s="7"/>
      <c r="U253" s="7"/>
      <c r="V253" s="9" t="s">
        <v>660</v>
      </c>
    </row>
    <row r="254" spans="1:22" x14ac:dyDescent="0.25">
      <c r="A254" s="7">
        <v>1366</v>
      </c>
      <c r="B254" s="7">
        <v>2025</v>
      </c>
      <c r="C254" s="7" t="s">
        <v>261</v>
      </c>
      <c r="D254" s="7" t="s">
        <v>104</v>
      </c>
      <c r="E254" s="7" t="s">
        <v>661</v>
      </c>
      <c r="F254" s="7" t="s">
        <v>269</v>
      </c>
      <c r="G254" s="18">
        <v>45975</v>
      </c>
      <c r="H254" s="18">
        <v>45975</v>
      </c>
      <c r="I254" s="18">
        <v>46022</v>
      </c>
      <c r="J254" s="7" t="str">
        <f>VLOOKUP(D254,Droplist!A:C,3,0)</f>
        <v>Martin Schulz</v>
      </c>
      <c r="K254" s="7"/>
      <c r="L254" s="7" t="s">
        <v>267</v>
      </c>
      <c r="M254" s="7" t="str">
        <f t="shared" si="6"/>
        <v>NOT AWARDED</v>
      </c>
      <c r="N254" s="7" t="s">
        <v>662</v>
      </c>
      <c r="O254" s="7">
        <v>1600</v>
      </c>
      <c r="P254" s="7">
        <v>10</v>
      </c>
      <c r="Q254" s="13">
        <f t="shared" si="7"/>
        <v>160</v>
      </c>
      <c r="R254" s="7"/>
      <c r="S254" s="7"/>
      <c r="T254" s="7"/>
      <c r="U254" s="7"/>
      <c r="V254" s="9" t="s">
        <v>631</v>
      </c>
    </row>
    <row r="255" spans="1:22" x14ac:dyDescent="0.25">
      <c r="A255" s="7">
        <v>1367</v>
      </c>
      <c r="B255" s="7">
        <v>2025</v>
      </c>
      <c r="C255" s="7" t="s">
        <v>296</v>
      </c>
      <c r="D255" s="7" t="s">
        <v>407</v>
      </c>
      <c r="E255" s="7" t="s">
        <v>663</v>
      </c>
      <c r="F255" s="7" t="s">
        <v>269</v>
      </c>
      <c r="G255" s="18"/>
      <c r="H255" s="18">
        <v>45992</v>
      </c>
      <c r="I255" s="18">
        <v>46173</v>
      </c>
      <c r="J255" s="7" t="str">
        <f>VLOOKUP(D255,Droplist!A:C,3,0)</f>
        <v xml:space="preserve">Roberta MacLeod-Stuart </v>
      </c>
      <c r="K255" s="7" t="s">
        <v>663</v>
      </c>
      <c r="L255" s="7" t="s">
        <v>264</v>
      </c>
      <c r="M255" s="7" t="str">
        <f t="shared" si="6"/>
        <v>AWARDED</v>
      </c>
      <c r="N255" s="7"/>
      <c r="O255" s="7" t="s">
        <v>369</v>
      </c>
      <c r="P255" s="7" t="s">
        <v>265</v>
      </c>
      <c r="Q255" s="13" t="e">
        <f t="shared" si="7"/>
        <v>#VALUE!</v>
      </c>
      <c r="R255" s="7" t="s">
        <v>265</v>
      </c>
      <c r="S255" s="7" t="s">
        <v>265</v>
      </c>
      <c r="T255" s="7">
        <v>2</v>
      </c>
      <c r="U255" s="7"/>
      <c r="V255" s="9" t="s">
        <v>664</v>
      </c>
    </row>
    <row r="256" spans="1:22" x14ac:dyDescent="0.25">
      <c r="A256" s="7">
        <v>1368</v>
      </c>
      <c r="B256" s="7">
        <v>2026</v>
      </c>
      <c r="C256" s="7" t="s">
        <v>261</v>
      </c>
      <c r="D256" s="7" t="s">
        <v>25</v>
      </c>
      <c r="E256" s="7" t="s">
        <v>282</v>
      </c>
      <c r="F256" s="7" t="s">
        <v>597</v>
      </c>
      <c r="G256" s="18">
        <v>45982</v>
      </c>
      <c r="H256" s="18">
        <v>46023</v>
      </c>
      <c r="I256" s="18">
        <v>46112</v>
      </c>
      <c r="J256" s="7" t="str">
        <f>VLOOKUP(D256,Droplist!A:C,3,0)</f>
        <v>Peter Andersen</v>
      </c>
      <c r="K256" s="7"/>
      <c r="L256" s="7" t="s">
        <v>601</v>
      </c>
      <c r="M256" s="7" t="str">
        <f t="shared" si="6"/>
        <v>PENDING OUTCOME</v>
      </c>
      <c r="N256" s="7"/>
      <c r="O256" s="7">
        <v>1662</v>
      </c>
      <c r="P256" s="7">
        <v>28</v>
      </c>
      <c r="Q256" s="13">
        <f t="shared" si="7"/>
        <v>59.357142857142854</v>
      </c>
      <c r="R256" s="7"/>
      <c r="S256" s="7"/>
      <c r="T256" s="7"/>
      <c r="U256" s="7"/>
      <c r="V256" s="9" t="s">
        <v>665</v>
      </c>
    </row>
    <row r="257" spans="1:22" ht="23.25" x14ac:dyDescent="0.25">
      <c r="A257" s="7">
        <v>1369</v>
      </c>
      <c r="B257" s="7">
        <v>2026</v>
      </c>
      <c r="C257" s="7" t="s">
        <v>261</v>
      </c>
      <c r="D257" s="7" t="s">
        <v>485</v>
      </c>
      <c r="E257" s="7" t="s">
        <v>486</v>
      </c>
      <c r="F257" s="7" t="s">
        <v>617</v>
      </c>
      <c r="G257" s="18">
        <v>45994</v>
      </c>
      <c r="H257" s="18">
        <v>46023</v>
      </c>
      <c r="I257" s="18">
        <v>46203</v>
      </c>
      <c r="J257" s="7" t="str">
        <f>VLOOKUP(D257,Droplist!A:C,3,0)</f>
        <v>Jakob Bluhme / Christine Solorzano / Diane Kaiser</v>
      </c>
      <c r="K257" s="7" t="s">
        <v>486</v>
      </c>
      <c r="L257" s="7" t="s">
        <v>264</v>
      </c>
      <c r="M257" s="7" t="str">
        <f t="shared" si="6"/>
        <v>PRIME</v>
      </c>
      <c r="N257" s="7"/>
      <c r="O257" s="7">
        <v>1300</v>
      </c>
      <c r="P257" s="7">
        <v>552</v>
      </c>
      <c r="Q257" s="13">
        <f t="shared" si="7"/>
        <v>2.3550724637681157</v>
      </c>
      <c r="R257" s="7">
        <v>1300</v>
      </c>
      <c r="S257" s="7">
        <v>108.33333333333333</v>
      </c>
      <c r="T257" s="7">
        <v>1117.7510000000007</v>
      </c>
      <c r="U257" s="7">
        <v>114.55500000000002</v>
      </c>
      <c r="V257" s="9" t="s">
        <v>666</v>
      </c>
    </row>
    <row r="258" spans="1:22" x14ac:dyDescent="0.25">
      <c r="A258" s="7">
        <v>1370</v>
      </c>
      <c r="B258" s="7">
        <v>2026</v>
      </c>
      <c r="C258" s="7" t="s">
        <v>261</v>
      </c>
      <c r="D258" s="7" t="s">
        <v>45</v>
      </c>
      <c r="E258" s="7" t="s">
        <v>351</v>
      </c>
      <c r="F258" s="7" t="s">
        <v>617</v>
      </c>
      <c r="G258" s="18">
        <v>46107</v>
      </c>
      <c r="H258" s="18">
        <v>46113</v>
      </c>
      <c r="I258" s="18">
        <v>46203</v>
      </c>
      <c r="J258" s="7" t="str">
        <f>VLOOKUP(D258,Droplist!A:C,3,0)</f>
        <v>Dennis Frankowski</v>
      </c>
      <c r="K258" s="7" t="s">
        <v>351</v>
      </c>
      <c r="L258" s="7" t="s">
        <v>264</v>
      </c>
      <c r="M258" s="7" t="str">
        <f t="shared" ref="M258:M321" si="8">IF(L258&lt;&gt;"AWARDED",L258,IF(NOT(ISNUMBER(T258)),L258,IF(T258&gt;=700,"PRIME",IF(T258&gt;=250,"MAINTENANCE",L258))))</f>
        <v>MAINTENANCE</v>
      </c>
      <c r="N258" s="7"/>
      <c r="O258" s="7">
        <v>1900</v>
      </c>
      <c r="P258" s="7">
        <v>134</v>
      </c>
      <c r="Q258" s="13">
        <f t="shared" si="7"/>
        <v>14.17910447761194</v>
      </c>
      <c r="R258" s="7" t="s">
        <v>265</v>
      </c>
      <c r="S258" s="7" t="s">
        <v>265</v>
      </c>
      <c r="T258" s="7">
        <v>511.39100000000025</v>
      </c>
      <c r="U258" s="7">
        <v>37.401000000000003</v>
      </c>
      <c r="V258" s="9" t="s">
        <v>667</v>
      </c>
    </row>
    <row r="259" spans="1:22" x14ac:dyDescent="0.25">
      <c r="A259" s="7">
        <v>1371</v>
      </c>
      <c r="B259" s="7">
        <v>2026</v>
      </c>
      <c r="C259" s="7" t="s">
        <v>261</v>
      </c>
      <c r="D259" s="7" t="s">
        <v>226</v>
      </c>
      <c r="E259" s="7" t="s">
        <v>231</v>
      </c>
      <c r="F259" s="7" t="s">
        <v>617</v>
      </c>
      <c r="G259" s="18">
        <v>46106</v>
      </c>
      <c r="H259" s="18">
        <v>46113</v>
      </c>
      <c r="I259" s="18">
        <v>46203</v>
      </c>
      <c r="J259" s="7" t="str">
        <f>VLOOKUP(D259,Droplist!A:C,3,0)</f>
        <v>Martin Schulz</v>
      </c>
      <c r="K259" s="7" t="s">
        <v>375</v>
      </c>
      <c r="L259" s="7" t="s">
        <v>264</v>
      </c>
      <c r="M259" s="7" t="str">
        <f t="shared" si="8"/>
        <v>PRIME</v>
      </c>
      <c r="N259" s="7"/>
      <c r="O259" s="7">
        <v>1450</v>
      </c>
      <c r="P259" s="7">
        <v>71</v>
      </c>
      <c r="Q259" s="13">
        <f t="shared" ref="Q259:Q322" si="9">O259/P259</f>
        <v>20.422535211267604</v>
      </c>
      <c r="R259" s="7">
        <v>5300</v>
      </c>
      <c r="S259" s="7">
        <v>444</v>
      </c>
      <c r="T259" s="7">
        <v>965.90200000000027</v>
      </c>
      <c r="U259" s="7">
        <v>125.73599999999999</v>
      </c>
      <c r="V259" s="9"/>
    </row>
    <row r="260" spans="1:22" x14ac:dyDescent="0.25">
      <c r="A260" s="7">
        <v>1372</v>
      </c>
      <c r="B260" s="7">
        <v>2026</v>
      </c>
      <c r="C260" s="7" t="s">
        <v>261</v>
      </c>
      <c r="D260" s="7" t="s">
        <v>226</v>
      </c>
      <c r="E260" s="7" t="s">
        <v>227</v>
      </c>
      <c r="F260" s="7" t="s">
        <v>617</v>
      </c>
      <c r="G260" s="18">
        <v>46101</v>
      </c>
      <c r="H260" s="18">
        <v>46113</v>
      </c>
      <c r="I260" s="18">
        <v>46203</v>
      </c>
      <c r="J260" s="7" t="str">
        <f>VLOOKUP(D260,Droplist!A:C,3,0)</f>
        <v>Martin Schulz</v>
      </c>
      <c r="K260" s="7" t="s">
        <v>227</v>
      </c>
      <c r="L260" s="7" t="s">
        <v>264</v>
      </c>
      <c r="M260" s="7" t="str">
        <f t="shared" si="8"/>
        <v>AWARDED</v>
      </c>
      <c r="N260" s="7"/>
      <c r="O260" s="7">
        <v>2761</v>
      </c>
      <c r="P260" s="7">
        <v>5</v>
      </c>
      <c r="Q260" s="13">
        <f t="shared" si="9"/>
        <v>552.20000000000005</v>
      </c>
      <c r="R260" s="7">
        <v>2761</v>
      </c>
      <c r="S260" s="7">
        <v>230</v>
      </c>
      <c r="T260" s="7">
        <v>227.34299999999999</v>
      </c>
      <c r="U260" s="7">
        <v>12.876000000000001</v>
      </c>
      <c r="V260" s="9"/>
    </row>
    <row r="261" spans="1:22" x14ac:dyDescent="0.25">
      <c r="A261" s="7">
        <v>1373</v>
      </c>
      <c r="B261" s="7">
        <v>2026</v>
      </c>
      <c r="C261" s="7" t="s">
        <v>261</v>
      </c>
      <c r="D261" s="7" t="s">
        <v>668</v>
      </c>
      <c r="E261" s="7" t="s">
        <v>669</v>
      </c>
      <c r="F261" s="7" t="s">
        <v>597</v>
      </c>
      <c r="G261" s="18">
        <v>45995</v>
      </c>
      <c r="H261" s="18">
        <v>46023</v>
      </c>
      <c r="I261" s="18">
        <v>46112</v>
      </c>
      <c r="J261" s="7" t="str">
        <f>VLOOKUP(D261,Droplist!A:C,3,0)</f>
        <v>Kevin Taylor</v>
      </c>
      <c r="K261" s="7"/>
      <c r="L261" s="7" t="s">
        <v>601</v>
      </c>
      <c r="M261" s="7" t="str">
        <f t="shared" si="8"/>
        <v>PENDING OUTCOME</v>
      </c>
      <c r="N261" s="7"/>
      <c r="O261" s="7">
        <v>32836</v>
      </c>
      <c r="P261" s="7">
        <v>606</v>
      </c>
      <c r="Q261" s="13">
        <f t="shared" si="9"/>
        <v>54.184818481848183</v>
      </c>
      <c r="R261" s="7"/>
      <c r="S261" s="7"/>
      <c r="T261" s="7"/>
      <c r="U261" s="7"/>
      <c r="V261" s="9"/>
    </row>
    <row r="262" spans="1:22" x14ac:dyDescent="0.25">
      <c r="A262" s="7">
        <v>1374</v>
      </c>
      <c r="B262" s="7">
        <v>2026</v>
      </c>
      <c r="C262" s="7" t="s">
        <v>261</v>
      </c>
      <c r="D262" s="7" t="s">
        <v>234</v>
      </c>
      <c r="E262" s="7" t="s">
        <v>235</v>
      </c>
      <c r="F262" s="7" t="s">
        <v>617</v>
      </c>
      <c r="G262" s="18">
        <v>46107</v>
      </c>
      <c r="H262" s="18">
        <v>46113</v>
      </c>
      <c r="I262" s="18">
        <v>46203</v>
      </c>
      <c r="J262" s="7" t="str">
        <f>VLOOKUP(D262,Droplist!A:C,3,0)</f>
        <v>Chris Crowder</v>
      </c>
      <c r="K262" s="7" t="s">
        <v>235</v>
      </c>
      <c r="L262" s="7" t="s">
        <v>264</v>
      </c>
      <c r="M262" s="7" t="str">
        <f t="shared" si="8"/>
        <v>PRIME</v>
      </c>
      <c r="N262" s="7"/>
      <c r="O262" s="7">
        <v>3450</v>
      </c>
      <c r="P262" s="7">
        <v>73</v>
      </c>
      <c r="Q262" s="13">
        <f t="shared" si="9"/>
        <v>47.260273972602739</v>
      </c>
      <c r="R262" s="7" t="s">
        <v>265</v>
      </c>
      <c r="S262" s="7" t="s">
        <v>265</v>
      </c>
      <c r="T262" s="7">
        <v>2939.0579999999977</v>
      </c>
      <c r="U262" s="7">
        <v>318.98599999999999</v>
      </c>
      <c r="V262" s="9"/>
    </row>
    <row r="263" spans="1:22" x14ac:dyDescent="0.25">
      <c r="A263" s="7">
        <v>1375</v>
      </c>
      <c r="B263" s="7">
        <v>2026</v>
      </c>
      <c r="C263" s="7" t="s">
        <v>261</v>
      </c>
      <c r="D263" s="7" t="s">
        <v>80</v>
      </c>
      <c r="E263" s="7" t="s">
        <v>224</v>
      </c>
      <c r="F263" s="7" t="s">
        <v>617</v>
      </c>
      <c r="G263" s="18">
        <v>46108</v>
      </c>
      <c r="H263" s="18">
        <v>46113</v>
      </c>
      <c r="I263" s="18">
        <v>46203</v>
      </c>
      <c r="J263" s="7" t="str">
        <f>VLOOKUP(D263,Droplist!A:C,3,0)</f>
        <v>Jens Pottschul</v>
      </c>
      <c r="K263" s="7" t="s">
        <v>224</v>
      </c>
      <c r="L263" s="7" t="s">
        <v>264</v>
      </c>
      <c r="M263" s="7" t="str">
        <f t="shared" si="8"/>
        <v>PRIME</v>
      </c>
      <c r="N263" s="7"/>
      <c r="O263" s="7">
        <v>3088</v>
      </c>
      <c r="P263" s="7">
        <v>76</v>
      </c>
      <c r="Q263" s="13">
        <f t="shared" si="9"/>
        <v>40.631578947368418</v>
      </c>
      <c r="R263" s="7">
        <v>3088</v>
      </c>
      <c r="S263" s="7">
        <v>200</v>
      </c>
      <c r="T263" s="7">
        <v>2469.9469999999997</v>
      </c>
      <c r="U263" s="7">
        <v>444.07600000000008</v>
      </c>
      <c r="V263" s="9" t="s">
        <v>623</v>
      </c>
    </row>
    <row r="264" spans="1:22" x14ac:dyDescent="0.25">
      <c r="A264" s="7">
        <v>1376</v>
      </c>
      <c r="B264" s="7">
        <v>2025</v>
      </c>
      <c r="C264" s="7" t="s">
        <v>261</v>
      </c>
      <c r="D264" s="7" t="s">
        <v>99</v>
      </c>
      <c r="E264" s="7" t="s">
        <v>670</v>
      </c>
      <c r="F264" s="7" t="s">
        <v>269</v>
      </c>
      <c r="G264" s="18">
        <v>45989</v>
      </c>
      <c r="H264" s="18">
        <v>45989</v>
      </c>
      <c r="I264" s="18">
        <v>46203</v>
      </c>
      <c r="J264" s="7" t="str">
        <f>VLOOKUP(D264,Droplist!A:C,3,0)</f>
        <v>Kevin Taylor</v>
      </c>
      <c r="K264" s="7"/>
      <c r="L264" s="7" t="s">
        <v>267</v>
      </c>
      <c r="M264" s="7" t="str">
        <f t="shared" si="8"/>
        <v>NOT AWARDED</v>
      </c>
      <c r="N264" s="7" t="s">
        <v>671</v>
      </c>
      <c r="O264" s="7">
        <v>2000</v>
      </c>
      <c r="P264" s="7">
        <v>53</v>
      </c>
      <c r="Q264" s="13">
        <f t="shared" si="9"/>
        <v>37.735849056603776</v>
      </c>
      <c r="R264" s="7"/>
      <c r="S264" s="7"/>
      <c r="T264" s="7"/>
      <c r="U264" s="7"/>
      <c r="V264" s="9" t="s">
        <v>631</v>
      </c>
    </row>
    <row r="265" spans="1:22" x14ac:dyDescent="0.25">
      <c r="A265" s="7">
        <v>1377</v>
      </c>
      <c r="B265" s="7">
        <v>2026</v>
      </c>
      <c r="C265" s="7" t="s">
        <v>261</v>
      </c>
      <c r="D265" s="7" t="s">
        <v>290</v>
      </c>
      <c r="E265" s="7" t="s">
        <v>291</v>
      </c>
      <c r="F265" s="7" t="s">
        <v>617</v>
      </c>
      <c r="G265" s="18">
        <v>46003</v>
      </c>
      <c r="H265" s="18">
        <v>46023</v>
      </c>
      <c r="I265" s="18">
        <v>46387</v>
      </c>
      <c r="J265" s="7" t="str">
        <f>VLOOKUP(D265,Droplist!A:C,3,0)</f>
        <v>Jens Pottschul</v>
      </c>
      <c r="K265" s="7" t="s">
        <v>291</v>
      </c>
      <c r="L265" s="7" t="s">
        <v>264</v>
      </c>
      <c r="M265" s="7" t="str">
        <f t="shared" si="8"/>
        <v>PRIME</v>
      </c>
      <c r="N265" s="7"/>
      <c r="O265" s="7">
        <v>1346.7139999999999</v>
      </c>
      <c r="P265" s="7">
        <v>100</v>
      </c>
      <c r="Q265" s="13">
        <f t="shared" si="9"/>
        <v>13.467139999999999</v>
      </c>
      <c r="R265" s="7">
        <v>1300</v>
      </c>
      <c r="S265" s="7">
        <v>110</v>
      </c>
      <c r="T265" s="7">
        <v>1148.1950000000006</v>
      </c>
      <c r="U265" s="7">
        <v>220.00899999999993</v>
      </c>
      <c r="V265" s="9"/>
    </row>
    <row r="266" spans="1:22" x14ac:dyDescent="0.25">
      <c r="A266" s="7">
        <v>1378</v>
      </c>
      <c r="B266" s="7">
        <v>2026</v>
      </c>
      <c r="C266" s="7" t="s">
        <v>261</v>
      </c>
      <c r="D266" s="7" t="s">
        <v>290</v>
      </c>
      <c r="E266" s="7" t="s">
        <v>292</v>
      </c>
      <c r="F266" s="7" t="s">
        <v>617</v>
      </c>
      <c r="G266" s="18">
        <v>46003</v>
      </c>
      <c r="H266" s="18">
        <v>46023</v>
      </c>
      <c r="I266" s="18">
        <v>46387</v>
      </c>
      <c r="J266" s="7" t="str">
        <f>VLOOKUP(D266,Droplist!A:C,3,0)</f>
        <v>Jens Pottschul</v>
      </c>
      <c r="K266" s="7" t="s">
        <v>292</v>
      </c>
      <c r="L266" s="7" t="s">
        <v>264</v>
      </c>
      <c r="M266" s="7" t="str">
        <f t="shared" si="8"/>
        <v>PRIME</v>
      </c>
      <c r="N266" s="7"/>
      <c r="O266" s="7">
        <v>2902</v>
      </c>
      <c r="P266" s="7">
        <v>64</v>
      </c>
      <c r="Q266" s="13">
        <f t="shared" si="9"/>
        <v>45.34375</v>
      </c>
      <c r="R266" s="7">
        <v>3000</v>
      </c>
      <c r="S266" s="7">
        <v>250</v>
      </c>
      <c r="T266" s="7">
        <v>2656.988000000003</v>
      </c>
      <c r="U266" s="7">
        <v>387.01900000000006</v>
      </c>
      <c r="V266" s="9"/>
    </row>
    <row r="267" spans="1:22" x14ac:dyDescent="0.25">
      <c r="A267" s="7">
        <v>1379</v>
      </c>
      <c r="B267" s="7">
        <v>2026</v>
      </c>
      <c r="C267" s="7" t="s">
        <v>261</v>
      </c>
      <c r="D267" s="7" t="s">
        <v>35</v>
      </c>
      <c r="E267" s="7" t="s">
        <v>299</v>
      </c>
      <c r="F267" s="7" t="s">
        <v>617</v>
      </c>
      <c r="G267" s="18">
        <v>46111</v>
      </c>
      <c r="H267" s="18">
        <v>46113</v>
      </c>
      <c r="I267" s="18">
        <v>46203</v>
      </c>
      <c r="J267" s="7" t="str">
        <f>VLOOKUP(D267,Droplist!A:C,3,0)</f>
        <v>Michelle Yu</v>
      </c>
      <c r="K267" s="7" t="s">
        <v>300</v>
      </c>
      <c r="L267" s="7" t="s">
        <v>264</v>
      </c>
      <c r="M267" s="7" t="str">
        <f t="shared" si="8"/>
        <v>AWARDED</v>
      </c>
      <c r="N267" s="7"/>
      <c r="O267" s="7">
        <v>500</v>
      </c>
      <c r="P267" s="7">
        <v>182</v>
      </c>
      <c r="Q267" s="13">
        <f t="shared" si="9"/>
        <v>2.7472527472527473</v>
      </c>
      <c r="R267" s="7">
        <v>500</v>
      </c>
      <c r="S267" s="7" t="s">
        <v>301</v>
      </c>
      <c r="T267" s="7">
        <v>52.456999999999994</v>
      </c>
      <c r="U267" s="7">
        <v>2.516</v>
      </c>
      <c r="V267" s="9"/>
    </row>
    <row r="268" spans="1:22" x14ac:dyDescent="0.25">
      <c r="A268" s="7">
        <v>1380</v>
      </c>
      <c r="B268" s="7">
        <v>2026</v>
      </c>
      <c r="C268" s="7" t="s">
        <v>261</v>
      </c>
      <c r="D268" s="7" t="s">
        <v>226</v>
      </c>
      <c r="E268" s="7" t="s">
        <v>672</v>
      </c>
      <c r="F268" s="7" t="s">
        <v>597</v>
      </c>
      <c r="G268" s="18">
        <v>45999</v>
      </c>
      <c r="H268" s="18">
        <v>46023</v>
      </c>
      <c r="I268" s="18">
        <v>46112</v>
      </c>
      <c r="J268" s="7" t="str">
        <f>VLOOKUP(D268,Droplist!A:C,3,0)</f>
        <v>Martin Schulz</v>
      </c>
      <c r="K268" s="7"/>
      <c r="L268" s="7" t="s">
        <v>601</v>
      </c>
      <c r="M268" s="7" t="str">
        <f t="shared" si="8"/>
        <v>PENDING OUTCOME</v>
      </c>
      <c r="N268" s="7"/>
      <c r="O268" s="7">
        <v>1000</v>
      </c>
      <c r="P268" s="7">
        <v>20</v>
      </c>
      <c r="Q268" s="13">
        <f t="shared" si="9"/>
        <v>50</v>
      </c>
      <c r="R268" s="7"/>
      <c r="S268" s="7"/>
      <c r="T268" s="7"/>
      <c r="U268" s="7"/>
      <c r="V268" s="9"/>
    </row>
    <row r="269" spans="1:22" x14ac:dyDescent="0.25">
      <c r="A269" s="7">
        <v>1381</v>
      </c>
      <c r="B269" s="7">
        <v>2026</v>
      </c>
      <c r="C269" s="7" t="s">
        <v>261</v>
      </c>
      <c r="D269" s="7" t="s">
        <v>190</v>
      </c>
      <c r="E269" s="7" t="s">
        <v>191</v>
      </c>
      <c r="F269" s="7" t="s">
        <v>617</v>
      </c>
      <c r="G269" s="18">
        <v>46101</v>
      </c>
      <c r="H269" s="18">
        <v>46113</v>
      </c>
      <c r="I269" s="18">
        <v>46203</v>
      </c>
      <c r="J269" s="7" t="str">
        <f>VLOOKUP(D269,Droplist!A:C,3,0)</f>
        <v>Kevin Taylor</v>
      </c>
      <c r="K269" s="7"/>
      <c r="L269" s="7" t="s">
        <v>601</v>
      </c>
      <c r="M269" s="7" t="str">
        <f t="shared" si="8"/>
        <v>PENDING OUTCOME</v>
      </c>
      <c r="N269" s="7"/>
      <c r="O269" s="7">
        <v>7118.02</v>
      </c>
      <c r="P269" s="7">
        <v>492</v>
      </c>
      <c r="Q269" s="13">
        <f t="shared" si="9"/>
        <v>14.467520325203253</v>
      </c>
      <c r="R269" s="7"/>
      <c r="S269" s="7"/>
      <c r="T269" s="7">
        <v>517.81100000000015</v>
      </c>
      <c r="U269" s="7">
        <v>48.849999999999994</v>
      </c>
      <c r="V269" s="9"/>
    </row>
    <row r="270" spans="1:22" x14ac:dyDescent="0.25">
      <c r="A270" s="7">
        <v>1382</v>
      </c>
      <c r="B270" s="7">
        <v>2026</v>
      </c>
      <c r="C270" s="7" t="s">
        <v>261</v>
      </c>
      <c r="D270" s="7" t="s">
        <v>104</v>
      </c>
      <c r="E270" s="7" t="s">
        <v>191</v>
      </c>
      <c r="F270" s="7" t="s">
        <v>617</v>
      </c>
      <c r="G270" s="18">
        <v>46010</v>
      </c>
      <c r="H270" s="18">
        <v>46023</v>
      </c>
      <c r="I270" s="18">
        <v>46053</v>
      </c>
      <c r="J270" s="7" t="str">
        <f>VLOOKUP(D270,Droplist!A:C,3,0)</f>
        <v>Martin Schulz</v>
      </c>
      <c r="K270" s="7" t="s">
        <v>191</v>
      </c>
      <c r="L270" s="7" t="s">
        <v>264</v>
      </c>
      <c r="M270" s="7" t="str">
        <f t="shared" si="8"/>
        <v>MAINTENANCE</v>
      </c>
      <c r="N270" s="7"/>
      <c r="O270" s="7">
        <v>3308</v>
      </c>
      <c r="P270" s="7">
        <v>107</v>
      </c>
      <c r="Q270" s="13">
        <f t="shared" si="9"/>
        <v>30.915887850467289</v>
      </c>
      <c r="R270" s="7" t="s">
        <v>265</v>
      </c>
      <c r="S270" s="7" t="s">
        <v>265</v>
      </c>
      <c r="T270" s="7">
        <v>273.97699999999992</v>
      </c>
      <c r="U270" s="7"/>
      <c r="V270" s="9"/>
    </row>
    <row r="271" spans="1:22" x14ac:dyDescent="0.25">
      <c r="A271" s="7">
        <v>1383</v>
      </c>
      <c r="B271" s="7">
        <v>2026</v>
      </c>
      <c r="C271" s="7" t="s">
        <v>261</v>
      </c>
      <c r="D271" s="7" t="s">
        <v>25</v>
      </c>
      <c r="E271" s="7" t="s">
        <v>199</v>
      </c>
      <c r="F271" s="7" t="s">
        <v>597</v>
      </c>
      <c r="G271" s="18">
        <v>46084</v>
      </c>
      <c r="H271" s="18">
        <v>46084</v>
      </c>
      <c r="I271" s="18">
        <v>46387</v>
      </c>
      <c r="J271" s="7" t="str">
        <f>VLOOKUP(D271,Droplist!A:C,3,0)</f>
        <v>Peter Andersen</v>
      </c>
      <c r="K271" s="7"/>
      <c r="L271" s="7" t="s">
        <v>601</v>
      </c>
      <c r="M271" s="7" t="str">
        <f t="shared" si="8"/>
        <v>PENDING OUTCOME</v>
      </c>
      <c r="N271" s="7"/>
      <c r="O271" s="7">
        <v>2193.6</v>
      </c>
      <c r="P271" s="7">
        <v>81</v>
      </c>
      <c r="Q271" s="13">
        <f t="shared" si="9"/>
        <v>27.081481481481479</v>
      </c>
      <c r="R271" s="7"/>
      <c r="S271" s="7"/>
      <c r="T271" s="7"/>
      <c r="U271" s="7"/>
      <c r="V271" s="9" t="s">
        <v>673</v>
      </c>
    </row>
    <row r="272" spans="1:22" x14ac:dyDescent="0.25">
      <c r="A272" s="7">
        <v>1384</v>
      </c>
      <c r="B272" s="7">
        <v>2026</v>
      </c>
      <c r="C272" s="7" t="s">
        <v>261</v>
      </c>
      <c r="D272" s="7" t="s">
        <v>48</v>
      </c>
      <c r="E272" s="7" t="s">
        <v>228</v>
      </c>
      <c r="F272" s="7" t="s">
        <v>617</v>
      </c>
      <c r="G272" s="18">
        <v>46003</v>
      </c>
      <c r="H272" s="18">
        <v>46023</v>
      </c>
      <c r="I272" s="18">
        <v>46112</v>
      </c>
      <c r="J272" s="7" t="str">
        <f>VLOOKUP(D272,Droplist!A:C,3,0)</f>
        <v>Jakob Bluhme</v>
      </c>
      <c r="K272" s="7" t="s">
        <v>228</v>
      </c>
      <c r="L272" s="7" t="s">
        <v>264</v>
      </c>
      <c r="M272" s="7" t="str">
        <f t="shared" si="8"/>
        <v>MAINTENANCE</v>
      </c>
      <c r="N272" s="7"/>
      <c r="O272" s="7">
        <v>7286.6</v>
      </c>
      <c r="P272" s="7">
        <v>163</v>
      </c>
      <c r="Q272" s="13">
        <f t="shared" si="9"/>
        <v>44.703067484662576</v>
      </c>
      <c r="R272" s="7">
        <v>360</v>
      </c>
      <c r="S272" s="7">
        <v>30</v>
      </c>
      <c r="T272" s="7">
        <v>373.91700000000009</v>
      </c>
      <c r="U272" s="7"/>
      <c r="V272" s="9"/>
    </row>
    <row r="273" spans="1:22" x14ac:dyDescent="0.25">
      <c r="A273" s="7">
        <v>1385</v>
      </c>
      <c r="B273" s="7">
        <v>2026</v>
      </c>
      <c r="C273" s="7" t="s">
        <v>261</v>
      </c>
      <c r="D273" s="7" t="s">
        <v>48</v>
      </c>
      <c r="E273" s="7" t="s">
        <v>228</v>
      </c>
      <c r="F273" s="7" t="s">
        <v>617</v>
      </c>
      <c r="G273" s="18">
        <v>46098</v>
      </c>
      <c r="H273" s="18">
        <v>46113</v>
      </c>
      <c r="I273" s="18">
        <v>46203</v>
      </c>
      <c r="J273" s="7" t="str">
        <f>VLOOKUP(D273,Droplist!A:C,3,0)</f>
        <v>Jakob Bluhme</v>
      </c>
      <c r="K273" s="7" t="s">
        <v>228</v>
      </c>
      <c r="L273" s="7" t="s">
        <v>264</v>
      </c>
      <c r="M273" s="7" t="str">
        <f t="shared" si="8"/>
        <v>AWARDED</v>
      </c>
      <c r="N273" s="7"/>
      <c r="O273" s="7">
        <v>7286.6</v>
      </c>
      <c r="P273" s="7">
        <v>163</v>
      </c>
      <c r="Q273" s="13">
        <f t="shared" si="9"/>
        <v>44.703067484662576</v>
      </c>
      <c r="R273" s="7">
        <v>360</v>
      </c>
      <c r="S273" s="7">
        <v>30</v>
      </c>
      <c r="T273" s="7">
        <v>29.647999999999996</v>
      </c>
      <c r="U273" s="7">
        <v>118.88499999999999</v>
      </c>
      <c r="V273" s="9"/>
    </row>
    <row r="274" spans="1:22" ht="23.25" x14ac:dyDescent="0.25">
      <c r="A274" s="7">
        <v>1386</v>
      </c>
      <c r="B274" s="7">
        <v>2026</v>
      </c>
      <c r="C274" s="7" t="s">
        <v>261</v>
      </c>
      <c r="D274" s="7" t="s">
        <v>45</v>
      </c>
      <c r="E274" s="7" t="s">
        <v>286</v>
      </c>
      <c r="F274" s="7" t="s">
        <v>269</v>
      </c>
      <c r="G274" s="18">
        <v>45999</v>
      </c>
      <c r="H274" s="18">
        <v>46023</v>
      </c>
      <c r="I274" s="18">
        <v>46356</v>
      </c>
      <c r="J274" s="7" t="str">
        <f>VLOOKUP(D274,Droplist!A:C,3,0)</f>
        <v>Dennis Frankowski</v>
      </c>
      <c r="K274" s="7" t="s">
        <v>674</v>
      </c>
      <c r="L274" s="7" t="s">
        <v>264</v>
      </c>
      <c r="M274" s="7" t="str">
        <f t="shared" si="8"/>
        <v>AWARDED</v>
      </c>
      <c r="N274" s="7"/>
      <c r="O274" s="7">
        <v>1000</v>
      </c>
      <c r="P274" s="7">
        <v>43</v>
      </c>
      <c r="Q274" s="13">
        <f t="shared" si="9"/>
        <v>23.255813953488371</v>
      </c>
      <c r="R274" s="7">
        <v>23</v>
      </c>
      <c r="S274" s="7">
        <v>11</v>
      </c>
      <c r="T274" s="7">
        <v>29.97999999999999</v>
      </c>
      <c r="U274" s="7">
        <v>2.82</v>
      </c>
      <c r="V274" s="9" t="s">
        <v>644</v>
      </c>
    </row>
    <row r="275" spans="1:22" ht="23.25" x14ac:dyDescent="0.25">
      <c r="A275" s="7">
        <v>1387</v>
      </c>
      <c r="B275" s="7">
        <v>2026</v>
      </c>
      <c r="C275" s="7" t="s">
        <v>261</v>
      </c>
      <c r="D275" s="7" t="s">
        <v>48</v>
      </c>
      <c r="E275" s="7" t="s">
        <v>675</v>
      </c>
      <c r="F275" s="7" t="s">
        <v>597</v>
      </c>
      <c r="G275" s="18">
        <v>46013</v>
      </c>
      <c r="H275" s="18">
        <v>46054</v>
      </c>
      <c r="I275" s="18">
        <v>46142</v>
      </c>
      <c r="J275" s="7" t="str">
        <f>VLOOKUP(D275,Droplist!A:C,3,0)</f>
        <v>Jakob Bluhme</v>
      </c>
      <c r="K275" s="7" t="s">
        <v>676</v>
      </c>
      <c r="L275" s="7" t="s">
        <v>264</v>
      </c>
      <c r="M275" s="7" t="str">
        <f t="shared" si="8"/>
        <v>AWARDED</v>
      </c>
      <c r="N275" s="7"/>
      <c r="O275" s="7">
        <v>2579</v>
      </c>
      <c r="P275" s="7">
        <v>80</v>
      </c>
      <c r="Q275" s="13">
        <f t="shared" si="9"/>
        <v>32.237499999999997</v>
      </c>
      <c r="R275" s="7">
        <v>210</v>
      </c>
      <c r="S275" s="7">
        <v>70</v>
      </c>
      <c r="T275" s="7"/>
      <c r="U275" s="7"/>
      <c r="V275" s="9" t="s">
        <v>677</v>
      </c>
    </row>
    <row r="276" spans="1:22" x14ac:dyDescent="0.25">
      <c r="A276" s="7">
        <v>1388</v>
      </c>
      <c r="B276" s="7">
        <v>2026</v>
      </c>
      <c r="C276" s="7" t="s">
        <v>261</v>
      </c>
      <c r="D276" s="7" t="s">
        <v>55</v>
      </c>
      <c r="E276" s="7" t="s">
        <v>678</v>
      </c>
      <c r="F276" s="7" t="s">
        <v>597</v>
      </c>
      <c r="G276" s="18">
        <v>45999</v>
      </c>
      <c r="H276" s="18">
        <v>46023</v>
      </c>
      <c r="I276" s="18">
        <v>46203</v>
      </c>
      <c r="J276" s="7" t="str">
        <f>VLOOKUP(D276,Droplist!A:C,3,0)</f>
        <v>Mette B. Karapetian</v>
      </c>
      <c r="K276" s="7"/>
      <c r="L276" s="7" t="s">
        <v>601</v>
      </c>
      <c r="M276" s="7" t="str">
        <f t="shared" si="8"/>
        <v>PENDING OUTCOME</v>
      </c>
      <c r="N276" s="7" t="s">
        <v>679</v>
      </c>
      <c r="O276" s="7">
        <v>6915</v>
      </c>
      <c r="P276" s="7">
        <v>100</v>
      </c>
      <c r="Q276" s="13">
        <f t="shared" si="9"/>
        <v>69.150000000000006</v>
      </c>
      <c r="R276" s="7"/>
      <c r="S276" s="7"/>
      <c r="T276" s="7"/>
      <c r="U276" s="7"/>
      <c r="V276" s="9"/>
    </row>
    <row r="277" spans="1:22" x14ac:dyDescent="0.25">
      <c r="A277" s="7">
        <v>1389</v>
      </c>
      <c r="B277" s="7">
        <v>2026</v>
      </c>
      <c r="C277" s="7" t="s">
        <v>261</v>
      </c>
      <c r="D277" s="7" t="s">
        <v>226</v>
      </c>
      <c r="E277" s="7" t="s">
        <v>233</v>
      </c>
      <c r="F277" s="7" t="s">
        <v>617</v>
      </c>
      <c r="G277" s="18">
        <v>46108</v>
      </c>
      <c r="H277" s="18">
        <v>46113</v>
      </c>
      <c r="I277" s="18">
        <v>46203</v>
      </c>
      <c r="J277" s="7" t="str">
        <f>VLOOKUP(D277,Droplist!A:C,3,0)</f>
        <v>Martin Schulz</v>
      </c>
      <c r="K277" s="7" t="s">
        <v>233</v>
      </c>
      <c r="L277" s="7" t="s">
        <v>264</v>
      </c>
      <c r="M277" s="7" t="str">
        <f t="shared" si="8"/>
        <v>PRIME</v>
      </c>
      <c r="N277" s="7"/>
      <c r="O277" s="7">
        <v>6423</v>
      </c>
      <c r="P277" s="7">
        <v>79</v>
      </c>
      <c r="Q277" s="13">
        <f t="shared" si="9"/>
        <v>81.303797468354432</v>
      </c>
      <c r="R277" s="7">
        <v>6423</v>
      </c>
      <c r="S277" s="7">
        <v>535</v>
      </c>
      <c r="T277" s="7">
        <v>965.35800000000063</v>
      </c>
      <c r="U277" s="7">
        <v>205.12299999999999</v>
      </c>
      <c r="V277" s="9"/>
    </row>
    <row r="278" spans="1:22" x14ac:dyDescent="0.25">
      <c r="A278" s="7">
        <v>1390</v>
      </c>
      <c r="B278" s="7">
        <v>2026</v>
      </c>
      <c r="C278" s="7" t="s">
        <v>261</v>
      </c>
      <c r="D278" s="7" t="s">
        <v>229</v>
      </c>
      <c r="E278" s="7" t="s">
        <v>230</v>
      </c>
      <c r="F278" s="7" t="s">
        <v>617</v>
      </c>
      <c r="G278" s="18">
        <v>46098</v>
      </c>
      <c r="H278" s="18">
        <v>45748</v>
      </c>
      <c r="I278" s="18">
        <v>46203</v>
      </c>
      <c r="J278" s="7" t="e">
        <f>VLOOKUP(D278,Droplist!A:C,3,0)</f>
        <v>#N/A</v>
      </c>
      <c r="K278" s="7" t="s">
        <v>230</v>
      </c>
      <c r="L278" s="7" t="s">
        <v>264</v>
      </c>
      <c r="M278" s="7" t="str">
        <f t="shared" si="8"/>
        <v>PRIME</v>
      </c>
      <c r="N278" s="7"/>
      <c r="O278" s="7">
        <v>1530</v>
      </c>
      <c r="P278" s="7">
        <v>876</v>
      </c>
      <c r="Q278" s="13">
        <f t="shared" si="9"/>
        <v>1.7465753424657535</v>
      </c>
      <c r="R278" s="7">
        <v>1500</v>
      </c>
      <c r="S278" s="7">
        <v>130</v>
      </c>
      <c r="T278" s="7">
        <v>1317.0359999999994</v>
      </c>
      <c r="U278" s="7">
        <v>241.90100000000001</v>
      </c>
      <c r="V278" s="9"/>
    </row>
    <row r="279" spans="1:22" x14ac:dyDescent="0.25">
      <c r="A279" s="7">
        <v>1391</v>
      </c>
      <c r="B279" s="7">
        <v>2026</v>
      </c>
      <c r="C279" s="7" t="s">
        <v>261</v>
      </c>
      <c r="D279" s="7" t="s">
        <v>589</v>
      </c>
      <c r="E279" s="7" t="s">
        <v>368</v>
      </c>
      <c r="F279" s="7" t="s">
        <v>617</v>
      </c>
      <c r="G279" s="18">
        <v>46006</v>
      </c>
      <c r="H279" s="18">
        <v>46023</v>
      </c>
      <c r="I279" s="18">
        <v>46142</v>
      </c>
      <c r="J279" s="7" t="str">
        <f>VLOOKUP(D279,Droplist!A:C,3,0)</f>
        <v>Martin Schulz</v>
      </c>
      <c r="K279" s="7" t="s">
        <v>368</v>
      </c>
      <c r="L279" s="7" t="s">
        <v>264</v>
      </c>
      <c r="M279" s="7" t="str">
        <f t="shared" si="8"/>
        <v>PRIME</v>
      </c>
      <c r="N279" s="7"/>
      <c r="O279" s="7">
        <v>7092</v>
      </c>
      <c r="P279" s="7">
        <v>520</v>
      </c>
      <c r="Q279" s="13">
        <f t="shared" si="9"/>
        <v>13.638461538461538</v>
      </c>
      <c r="R279" s="7">
        <v>3546</v>
      </c>
      <c r="S279" s="7">
        <v>296</v>
      </c>
      <c r="T279" s="7">
        <v>2285.0949999999993</v>
      </c>
      <c r="U279" s="7"/>
      <c r="V279" s="9"/>
    </row>
    <row r="280" spans="1:22" x14ac:dyDescent="0.25">
      <c r="A280" s="7">
        <v>1392</v>
      </c>
      <c r="B280" s="7">
        <v>2026</v>
      </c>
      <c r="C280" s="7" t="s">
        <v>261</v>
      </c>
      <c r="D280" s="7" t="s">
        <v>72</v>
      </c>
      <c r="E280" s="7" t="s">
        <v>240</v>
      </c>
      <c r="F280" s="7" t="s">
        <v>617</v>
      </c>
      <c r="G280" s="18">
        <v>46099</v>
      </c>
      <c r="H280" s="18">
        <v>46113</v>
      </c>
      <c r="I280" s="18" t="s">
        <v>680</v>
      </c>
      <c r="J280" s="7" t="str">
        <f>VLOOKUP(D280,Droplist!A:C,3,0)</f>
        <v>Jens Pottschul</v>
      </c>
      <c r="K280" s="7" t="s">
        <v>240</v>
      </c>
      <c r="L280" s="7" t="s">
        <v>264</v>
      </c>
      <c r="M280" s="7" t="str">
        <f t="shared" si="8"/>
        <v>MAINTENANCE</v>
      </c>
      <c r="N280" s="7"/>
      <c r="O280" s="7">
        <v>11202</v>
      </c>
      <c r="P280" s="7">
        <v>333</v>
      </c>
      <c r="Q280" s="13">
        <f t="shared" si="9"/>
        <v>33.63963963963964</v>
      </c>
      <c r="R280" s="7">
        <v>1080</v>
      </c>
      <c r="S280" s="7">
        <v>80</v>
      </c>
      <c r="T280" s="7">
        <v>582.52400000000011</v>
      </c>
      <c r="U280" s="7">
        <v>200.696</v>
      </c>
      <c r="V280" s="9"/>
    </row>
    <row r="281" spans="1:22" ht="23.25" x14ac:dyDescent="0.25">
      <c r="A281" s="7">
        <v>1393</v>
      </c>
      <c r="B281" s="7">
        <v>2026</v>
      </c>
      <c r="C281" s="7" t="s">
        <v>261</v>
      </c>
      <c r="D281" s="7" t="s">
        <v>75</v>
      </c>
      <c r="E281" s="7" t="s">
        <v>303</v>
      </c>
      <c r="F281" s="7" t="s">
        <v>617</v>
      </c>
      <c r="G281" s="18">
        <v>46106</v>
      </c>
      <c r="H281" s="18">
        <v>46113</v>
      </c>
      <c r="I281" s="18">
        <v>46203</v>
      </c>
      <c r="J281" s="7" t="str">
        <f>VLOOKUP(D281,Droplist!A:C,3,0)</f>
        <v>Martin Schulz</v>
      </c>
      <c r="K281" s="7" t="s">
        <v>303</v>
      </c>
      <c r="L281" s="7" t="s">
        <v>264</v>
      </c>
      <c r="M281" s="7" t="str">
        <f t="shared" si="8"/>
        <v>MAINTENANCE</v>
      </c>
      <c r="N281" s="7"/>
      <c r="O281" s="7">
        <v>11738</v>
      </c>
      <c r="P281" s="7">
        <v>319</v>
      </c>
      <c r="Q281" s="13">
        <f t="shared" si="9"/>
        <v>36.796238244514107</v>
      </c>
      <c r="R281" s="7">
        <v>1400</v>
      </c>
      <c r="S281" s="7">
        <v>116</v>
      </c>
      <c r="T281" s="7">
        <v>446.80299999999994</v>
      </c>
      <c r="U281" s="7">
        <v>95.588999999999999</v>
      </c>
      <c r="V281" s="9" t="s">
        <v>681</v>
      </c>
    </row>
    <row r="282" spans="1:22" x14ac:dyDescent="0.25">
      <c r="A282" s="7">
        <v>1394</v>
      </c>
      <c r="B282" s="7">
        <v>2025</v>
      </c>
      <c r="C282" s="7" t="s">
        <v>261</v>
      </c>
      <c r="D282" s="7" t="s">
        <v>234</v>
      </c>
      <c r="E282" s="7" t="s">
        <v>527</v>
      </c>
      <c r="F282" s="7" t="s">
        <v>269</v>
      </c>
      <c r="G282" s="18">
        <v>46002</v>
      </c>
      <c r="H282" s="18">
        <v>46006</v>
      </c>
      <c r="I282" s="18">
        <v>46387</v>
      </c>
      <c r="J282" s="7" t="str">
        <f>VLOOKUP(D282,Droplist!A:C,3,0)</f>
        <v>Chris Crowder</v>
      </c>
      <c r="K282" s="7"/>
      <c r="L282" s="7" t="s">
        <v>601</v>
      </c>
      <c r="M282" s="7" t="str">
        <f t="shared" si="8"/>
        <v>PENDING OUTCOME</v>
      </c>
      <c r="N282" s="7"/>
      <c r="O282" s="7">
        <v>6000</v>
      </c>
      <c r="P282" s="7">
        <v>30</v>
      </c>
      <c r="Q282" s="13">
        <f t="shared" si="9"/>
        <v>200</v>
      </c>
      <c r="R282" s="7"/>
      <c r="S282" s="7"/>
      <c r="T282" s="7"/>
      <c r="U282" s="7"/>
      <c r="V282" s="9" t="s">
        <v>682</v>
      </c>
    </row>
    <row r="283" spans="1:22" x14ac:dyDescent="0.25">
      <c r="A283" s="7">
        <v>1395</v>
      </c>
      <c r="B283" s="7">
        <v>2026</v>
      </c>
      <c r="C283" s="7" t="s">
        <v>261</v>
      </c>
      <c r="D283" s="7" t="s">
        <v>234</v>
      </c>
      <c r="E283" s="7" t="s">
        <v>241</v>
      </c>
      <c r="F283" s="7" t="s">
        <v>617</v>
      </c>
      <c r="G283" s="18">
        <v>46099</v>
      </c>
      <c r="H283" s="18">
        <v>46113</v>
      </c>
      <c r="I283" s="18">
        <v>46203</v>
      </c>
      <c r="J283" s="7" t="str">
        <f>VLOOKUP(D283,Droplist!A:C,3,0)</f>
        <v>Chris Crowder</v>
      </c>
      <c r="K283" s="7" t="s">
        <v>241</v>
      </c>
      <c r="L283" s="7" t="s">
        <v>264</v>
      </c>
      <c r="M283" s="7" t="str">
        <f t="shared" si="8"/>
        <v>PRIME</v>
      </c>
      <c r="N283" s="7"/>
      <c r="O283" s="7">
        <v>14661</v>
      </c>
      <c r="P283" s="7">
        <v>107</v>
      </c>
      <c r="Q283" s="13">
        <f t="shared" si="9"/>
        <v>137.01869158878506</v>
      </c>
      <c r="R283" s="7">
        <v>14660</v>
      </c>
      <c r="S283" s="7">
        <v>900</v>
      </c>
      <c r="T283" s="7">
        <v>2044.6520000000007</v>
      </c>
      <c r="U283" s="7">
        <v>245.94500000000008</v>
      </c>
      <c r="V283" s="9"/>
    </row>
    <row r="284" spans="1:22" ht="23.25" x14ac:dyDescent="0.25">
      <c r="A284" s="7">
        <v>1396</v>
      </c>
      <c r="B284" s="7">
        <v>2026</v>
      </c>
      <c r="C284" s="7" t="s">
        <v>261</v>
      </c>
      <c r="D284" s="7" t="s">
        <v>234</v>
      </c>
      <c r="E284" s="7" t="s">
        <v>262</v>
      </c>
      <c r="F284" s="7" t="s">
        <v>617</v>
      </c>
      <c r="G284" s="18">
        <v>46020</v>
      </c>
      <c r="H284" s="18">
        <v>46023</v>
      </c>
      <c r="I284" s="18">
        <v>46387</v>
      </c>
      <c r="J284" s="7" t="str">
        <f>VLOOKUP(D284,Droplist!A:C,3,0)</f>
        <v>Chris Crowder</v>
      </c>
      <c r="K284" s="7" t="s">
        <v>262</v>
      </c>
      <c r="L284" s="7" t="s">
        <v>264</v>
      </c>
      <c r="M284" s="7" t="str">
        <f t="shared" si="8"/>
        <v>MAINTENANCE</v>
      </c>
      <c r="N284" s="7"/>
      <c r="O284" s="7">
        <v>38033.74</v>
      </c>
      <c r="P284" s="7">
        <v>388</v>
      </c>
      <c r="Q284" s="13">
        <f t="shared" si="9"/>
        <v>98.025103092783496</v>
      </c>
      <c r="R284" s="7" t="s">
        <v>265</v>
      </c>
      <c r="S284" s="7" t="s">
        <v>265</v>
      </c>
      <c r="T284" s="7">
        <v>691.42000000000007</v>
      </c>
      <c r="U284" s="7">
        <v>86.481999999999999</v>
      </c>
      <c r="V284" s="9" t="s">
        <v>683</v>
      </c>
    </row>
    <row r="285" spans="1:22" x14ac:dyDescent="0.25">
      <c r="A285" s="7">
        <v>1397</v>
      </c>
      <c r="B285" s="7">
        <v>2026</v>
      </c>
      <c r="C285" s="7" t="s">
        <v>261</v>
      </c>
      <c r="D285" s="7" t="s">
        <v>234</v>
      </c>
      <c r="E285" s="7" t="s">
        <v>372</v>
      </c>
      <c r="F285" s="7" t="s">
        <v>617</v>
      </c>
      <c r="G285" s="18">
        <v>46006</v>
      </c>
      <c r="H285" s="18">
        <v>46023</v>
      </c>
      <c r="I285" s="18">
        <v>46081</v>
      </c>
      <c r="J285" s="7" t="str">
        <f>VLOOKUP(D285,Droplist!A:C,3,0)</f>
        <v>Chris Crowder</v>
      </c>
      <c r="K285" s="7" t="s">
        <v>509</v>
      </c>
      <c r="L285" s="7" t="s">
        <v>264</v>
      </c>
      <c r="M285" s="7" t="str">
        <f t="shared" si="8"/>
        <v>AWARDED</v>
      </c>
      <c r="N285" s="7"/>
      <c r="O285" s="7">
        <v>4924</v>
      </c>
      <c r="P285" s="7">
        <v>105</v>
      </c>
      <c r="Q285" s="13">
        <f t="shared" si="9"/>
        <v>46.895238095238092</v>
      </c>
      <c r="R285" s="7">
        <v>300</v>
      </c>
      <c r="S285" s="7">
        <v>45</v>
      </c>
      <c r="T285" s="7">
        <v>85.006</v>
      </c>
      <c r="U285" s="7"/>
      <c r="V285" s="9"/>
    </row>
    <row r="286" spans="1:22" x14ac:dyDescent="0.25">
      <c r="A286" s="7">
        <v>1398</v>
      </c>
      <c r="B286" s="7">
        <v>2026</v>
      </c>
      <c r="C286" s="7" t="s">
        <v>261</v>
      </c>
      <c r="D286" s="7" t="s">
        <v>80</v>
      </c>
      <c r="E286" s="7" t="s">
        <v>242</v>
      </c>
      <c r="F286" s="7" t="s">
        <v>617</v>
      </c>
      <c r="G286" s="18">
        <v>46094</v>
      </c>
      <c r="H286" s="18">
        <v>46113</v>
      </c>
      <c r="I286" s="18">
        <v>46203</v>
      </c>
      <c r="J286" s="7" t="str">
        <f>VLOOKUP(D286,Droplist!A:C,3,0)</f>
        <v>Jens Pottschul</v>
      </c>
      <c r="K286" s="7" t="s">
        <v>242</v>
      </c>
      <c r="L286" s="7" t="s">
        <v>264</v>
      </c>
      <c r="M286" s="7" t="str">
        <f t="shared" si="8"/>
        <v>AWARDED</v>
      </c>
      <c r="N286" s="7"/>
      <c r="O286" s="7">
        <v>38908</v>
      </c>
      <c r="P286" s="7">
        <v>17</v>
      </c>
      <c r="Q286" s="13">
        <f t="shared" si="9"/>
        <v>2288.705882352941</v>
      </c>
      <c r="R286" s="7" t="s">
        <v>265</v>
      </c>
      <c r="S286" s="7" t="s">
        <v>265</v>
      </c>
      <c r="T286" s="7">
        <v>212.77500000000001</v>
      </c>
      <c r="U286" s="7">
        <v>57.616</v>
      </c>
      <c r="V286" s="9"/>
    </row>
    <row r="287" spans="1:22" x14ac:dyDescent="0.25">
      <c r="A287" s="7">
        <v>1399</v>
      </c>
      <c r="B287" s="7">
        <v>2026</v>
      </c>
      <c r="C287" s="7" t="s">
        <v>261</v>
      </c>
      <c r="D287" s="7" t="s">
        <v>80</v>
      </c>
      <c r="E287" s="7" t="s">
        <v>339</v>
      </c>
      <c r="F287" s="7" t="s">
        <v>597</v>
      </c>
      <c r="G287" s="18">
        <v>46003</v>
      </c>
      <c r="H287" s="18">
        <v>46023</v>
      </c>
      <c r="I287" s="18">
        <v>46112</v>
      </c>
      <c r="J287" s="7" t="str">
        <f>VLOOKUP(D287,Droplist!A:C,3,0)</f>
        <v>Jens Pottschul</v>
      </c>
      <c r="K287" s="7"/>
      <c r="L287" s="7" t="s">
        <v>601</v>
      </c>
      <c r="M287" s="7" t="str">
        <f t="shared" si="8"/>
        <v>PENDING OUTCOME</v>
      </c>
      <c r="N287" s="7"/>
      <c r="O287" s="7">
        <v>27352</v>
      </c>
      <c r="P287" s="7">
        <v>688</v>
      </c>
      <c r="Q287" s="13">
        <f t="shared" si="9"/>
        <v>39.755813953488371</v>
      </c>
      <c r="R287" s="7"/>
      <c r="S287" s="7"/>
      <c r="T287" s="7"/>
      <c r="U287" s="7"/>
      <c r="V287" s="9" t="s">
        <v>684</v>
      </c>
    </row>
    <row r="288" spans="1:22" x14ac:dyDescent="0.25">
      <c r="A288" s="7">
        <v>1400</v>
      </c>
      <c r="B288" s="7">
        <v>2026</v>
      </c>
      <c r="C288" s="7" t="s">
        <v>261</v>
      </c>
      <c r="D288" s="7" t="s">
        <v>391</v>
      </c>
      <c r="E288" s="7" t="s">
        <v>305</v>
      </c>
      <c r="F288" s="7" t="s">
        <v>269</v>
      </c>
      <c r="G288" s="18">
        <v>46007</v>
      </c>
      <c r="H288" s="18">
        <v>46023</v>
      </c>
      <c r="I288" s="18">
        <v>46387</v>
      </c>
      <c r="J288" s="7" t="str">
        <f>VLOOKUP(D288,Droplist!A:C,3,0)</f>
        <v>Martin Schulz</v>
      </c>
      <c r="K288" s="7"/>
      <c r="L288" s="7" t="s">
        <v>267</v>
      </c>
      <c r="M288" s="7" t="str">
        <f t="shared" si="8"/>
        <v>NOT AWARDED</v>
      </c>
      <c r="N288" s="7" t="s">
        <v>685</v>
      </c>
      <c r="O288" s="7">
        <v>3992</v>
      </c>
      <c r="P288" s="7">
        <v>31</v>
      </c>
      <c r="Q288" s="13">
        <f t="shared" si="9"/>
        <v>128.7741935483871</v>
      </c>
      <c r="R288" s="7"/>
      <c r="S288" s="7"/>
      <c r="T288" s="7"/>
      <c r="U288" s="7"/>
      <c r="V288" s="9"/>
    </row>
    <row r="289" spans="1:22" x14ac:dyDescent="0.25">
      <c r="A289" s="7">
        <v>1401</v>
      </c>
      <c r="B289" s="7">
        <v>2026</v>
      </c>
      <c r="C289" s="7" t="s">
        <v>261</v>
      </c>
      <c r="D289" s="7" t="s">
        <v>84</v>
      </c>
      <c r="E289" s="7" t="s">
        <v>527</v>
      </c>
      <c r="F289" s="7" t="s">
        <v>617</v>
      </c>
      <c r="G289" s="18">
        <v>46041</v>
      </c>
      <c r="H289" s="18">
        <v>46041</v>
      </c>
      <c r="I289" s="18">
        <v>46203</v>
      </c>
      <c r="J289" s="7" t="str">
        <f>VLOOKUP(D289,Droplist!A:C,3,0)</f>
        <v>Martin Schulz</v>
      </c>
      <c r="K289" s="7" t="s">
        <v>528</v>
      </c>
      <c r="L289" s="7" t="s">
        <v>264</v>
      </c>
      <c r="M289" s="7" t="str">
        <f t="shared" si="8"/>
        <v>PRIME</v>
      </c>
      <c r="N289" s="7"/>
      <c r="O289" s="7">
        <v>30000</v>
      </c>
      <c r="P289" s="7">
        <v>995</v>
      </c>
      <c r="Q289" s="13">
        <f t="shared" si="9"/>
        <v>30.150753768844222</v>
      </c>
      <c r="R289" s="7">
        <v>6138</v>
      </c>
      <c r="S289" s="7">
        <v>500</v>
      </c>
      <c r="T289" s="7">
        <v>8694.674999999992</v>
      </c>
      <c r="U289" s="7">
        <v>1244.7780000000007</v>
      </c>
      <c r="V289" s="9"/>
    </row>
    <row r="290" spans="1:22" x14ac:dyDescent="0.25">
      <c r="A290" s="7">
        <v>1402</v>
      </c>
      <c r="B290" s="7">
        <v>2026</v>
      </c>
      <c r="C290" s="7" t="s">
        <v>261</v>
      </c>
      <c r="D290" s="7" t="s">
        <v>84</v>
      </c>
      <c r="E290" s="7" t="s">
        <v>238</v>
      </c>
      <c r="F290" s="7" t="s">
        <v>617</v>
      </c>
      <c r="G290" s="18">
        <v>46108</v>
      </c>
      <c r="H290" s="18">
        <v>46113</v>
      </c>
      <c r="I290" s="18">
        <v>46203</v>
      </c>
      <c r="J290" s="7" t="str">
        <f>VLOOKUP(D290,Droplist!A:C,3,0)</f>
        <v>Martin Schulz</v>
      </c>
      <c r="K290" s="7" t="s">
        <v>329</v>
      </c>
      <c r="L290" s="7" t="s">
        <v>264</v>
      </c>
      <c r="M290" s="7" t="str">
        <f t="shared" si="8"/>
        <v>PRIME</v>
      </c>
      <c r="N290" s="7" t="s">
        <v>298</v>
      </c>
      <c r="O290" s="7">
        <v>1500</v>
      </c>
      <c r="P290" s="7">
        <v>672</v>
      </c>
      <c r="Q290" s="13">
        <f t="shared" si="9"/>
        <v>2.2321428571428572</v>
      </c>
      <c r="R290" s="7" t="s">
        <v>265</v>
      </c>
      <c r="S290" s="7" t="s">
        <v>265</v>
      </c>
      <c r="T290" s="7">
        <v>1501.08</v>
      </c>
      <c r="U290" s="7">
        <v>172.65500000000003</v>
      </c>
      <c r="V290" s="9"/>
    </row>
    <row r="291" spans="1:22" x14ac:dyDescent="0.25">
      <c r="A291" s="7">
        <v>1403</v>
      </c>
      <c r="B291" s="7">
        <v>2026</v>
      </c>
      <c r="C291" s="7" t="s">
        <v>261</v>
      </c>
      <c r="D291" s="7" t="s">
        <v>207</v>
      </c>
      <c r="E291" s="7" t="s">
        <v>240</v>
      </c>
      <c r="F291" s="7" t="s">
        <v>597</v>
      </c>
      <c r="G291" s="18">
        <v>45996</v>
      </c>
      <c r="H291" s="18">
        <v>46023</v>
      </c>
      <c r="I291" s="18">
        <v>46387</v>
      </c>
      <c r="J291" s="7" t="str">
        <f>VLOOKUP(D291,Droplist!A:C,3,0)</f>
        <v>Jens Pottschul</v>
      </c>
      <c r="K291" s="7"/>
      <c r="L291" s="7" t="s">
        <v>601</v>
      </c>
      <c r="M291" s="7" t="str">
        <f t="shared" si="8"/>
        <v>PENDING OUTCOME</v>
      </c>
      <c r="N291" s="7"/>
      <c r="O291" s="7">
        <v>16836</v>
      </c>
      <c r="P291" s="7">
        <v>219</v>
      </c>
      <c r="Q291" s="13">
        <f t="shared" si="9"/>
        <v>76.876712328767127</v>
      </c>
      <c r="R291" s="7" t="s">
        <v>335</v>
      </c>
      <c r="S291" s="7"/>
      <c r="T291" s="7"/>
      <c r="U291" s="7">
        <v>4.399</v>
      </c>
      <c r="V291" s="9" t="s">
        <v>686</v>
      </c>
    </row>
    <row r="292" spans="1:22" x14ac:dyDescent="0.25">
      <c r="A292" s="7">
        <v>1404</v>
      </c>
      <c r="B292" s="7">
        <v>2025</v>
      </c>
      <c r="C292" s="7" t="s">
        <v>261</v>
      </c>
      <c r="D292" s="7" t="s">
        <v>99</v>
      </c>
      <c r="E292" s="7" t="s">
        <v>687</v>
      </c>
      <c r="F292" s="7" t="s">
        <v>597</v>
      </c>
      <c r="G292" s="18">
        <v>46006</v>
      </c>
      <c r="H292" s="18">
        <v>46006</v>
      </c>
      <c r="I292" s="18">
        <v>46112</v>
      </c>
      <c r="J292" s="7" t="str">
        <f>VLOOKUP(D292,Droplist!A:C,3,0)</f>
        <v>Kevin Taylor</v>
      </c>
      <c r="K292" s="7"/>
      <c r="L292" s="7" t="s">
        <v>601</v>
      </c>
      <c r="M292" s="7" t="str">
        <f t="shared" si="8"/>
        <v>PENDING OUTCOME</v>
      </c>
      <c r="N292" s="7"/>
      <c r="O292" s="7">
        <v>3882</v>
      </c>
      <c r="P292" s="7">
        <v>544</v>
      </c>
      <c r="Q292" s="13">
        <f t="shared" si="9"/>
        <v>7.1360294117647056</v>
      </c>
      <c r="R292" s="7"/>
      <c r="S292" s="7"/>
      <c r="T292" s="7"/>
      <c r="U292" s="7"/>
      <c r="V292" s="9" t="s">
        <v>688</v>
      </c>
    </row>
    <row r="293" spans="1:22" x14ac:dyDescent="0.25">
      <c r="A293" s="7">
        <v>1405</v>
      </c>
      <c r="B293" s="7">
        <v>2026</v>
      </c>
      <c r="C293" s="7" t="s">
        <v>261</v>
      </c>
      <c r="D293" s="7" t="s">
        <v>101</v>
      </c>
      <c r="E293" s="7" t="s">
        <v>184</v>
      </c>
      <c r="F293" s="7" t="s">
        <v>617</v>
      </c>
      <c r="G293" s="18">
        <v>46065</v>
      </c>
      <c r="H293" s="18">
        <v>46065</v>
      </c>
      <c r="I293" s="18">
        <v>46173</v>
      </c>
      <c r="J293" s="7" t="str">
        <f>VLOOKUP(D293,Droplist!A:C,3,0)</f>
        <v>Jakob Bluhme</v>
      </c>
      <c r="K293" s="7" t="s">
        <v>184</v>
      </c>
      <c r="L293" s="7" t="s">
        <v>264</v>
      </c>
      <c r="M293" s="7" t="str">
        <f t="shared" si="8"/>
        <v>AWARDED</v>
      </c>
      <c r="N293" s="7"/>
      <c r="O293" s="7">
        <v>76097</v>
      </c>
      <c r="P293" s="7">
        <v>883</v>
      </c>
      <c r="Q293" s="13">
        <f t="shared" si="9"/>
        <v>86.180067950169871</v>
      </c>
      <c r="R293" s="7">
        <v>4224</v>
      </c>
      <c r="S293" s="7">
        <v>352</v>
      </c>
      <c r="T293" s="7">
        <v>102.128</v>
      </c>
      <c r="U293" s="7">
        <v>27.459000000000003</v>
      </c>
      <c r="V293" s="9"/>
    </row>
    <row r="294" spans="1:22" x14ac:dyDescent="0.25">
      <c r="A294" s="7">
        <v>1406</v>
      </c>
      <c r="B294" s="7">
        <v>2026</v>
      </c>
      <c r="C294" s="7" t="s">
        <v>261</v>
      </c>
      <c r="D294" s="7" t="s">
        <v>102</v>
      </c>
      <c r="E294" s="7" t="s">
        <v>385</v>
      </c>
      <c r="F294" s="7" t="s">
        <v>617</v>
      </c>
      <c r="G294" s="18">
        <v>46104</v>
      </c>
      <c r="H294" s="18">
        <v>46113</v>
      </c>
      <c r="I294" s="18">
        <v>46203</v>
      </c>
      <c r="J294" s="7" t="str">
        <f>VLOOKUP(D294,Droplist!A:C,3,0)</f>
        <v>Jens Pottschul</v>
      </c>
      <c r="K294" s="7" t="s">
        <v>446</v>
      </c>
      <c r="L294" s="7" t="s">
        <v>264</v>
      </c>
      <c r="M294" s="7" t="str">
        <f t="shared" si="8"/>
        <v>MAINTENANCE</v>
      </c>
      <c r="N294" s="7"/>
      <c r="O294" s="7">
        <v>1110</v>
      </c>
      <c r="P294" s="7">
        <v>31</v>
      </c>
      <c r="Q294" s="13">
        <f t="shared" si="9"/>
        <v>35.806451612903224</v>
      </c>
      <c r="R294" s="7">
        <v>1255</v>
      </c>
      <c r="S294" s="7">
        <v>150</v>
      </c>
      <c r="T294" s="7">
        <v>322.57900000000006</v>
      </c>
      <c r="U294" s="7">
        <v>94.869000000000014</v>
      </c>
      <c r="V294" s="9"/>
    </row>
    <row r="295" spans="1:22" x14ac:dyDescent="0.25">
      <c r="A295" s="7">
        <v>1407</v>
      </c>
      <c r="B295" s="7">
        <v>2026</v>
      </c>
      <c r="C295" s="7" t="s">
        <v>261</v>
      </c>
      <c r="D295" s="7" t="s">
        <v>102</v>
      </c>
      <c r="E295" s="7" t="s">
        <v>669</v>
      </c>
      <c r="F295" s="7" t="s">
        <v>597</v>
      </c>
      <c r="G295" s="18">
        <v>45999</v>
      </c>
      <c r="H295" s="18">
        <v>46023</v>
      </c>
      <c r="I295" s="18">
        <v>46112</v>
      </c>
      <c r="J295" s="7" t="str">
        <f>VLOOKUP(D295,Droplist!A:C,3,0)</f>
        <v>Jens Pottschul</v>
      </c>
      <c r="K295" s="7"/>
      <c r="L295" s="7" t="s">
        <v>601</v>
      </c>
      <c r="M295" s="7" t="str">
        <f t="shared" si="8"/>
        <v>PENDING OUTCOME</v>
      </c>
      <c r="N295" s="7"/>
      <c r="O295" s="7">
        <v>5056.24</v>
      </c>
      <c r="P295" s="7">
        <v>216</v>
      </c>
      <c r="Q295" s="13">
        <f t="shared" si="9"/>
        <v>23.408518518518516</v>
      </c>
      <c r="R295" s="7"/>
      <c r="S295" s="7"/>
      <c r="T295" s="7"/>
      <c r="U295" s="7"/>
      <c r="V295" s="9" t="s">
        <v>686</v>
      </c>
    </row>
    <row r="296" spans="1:22" x14ac:dyDescent="0.25">
      <c r="A296" s="7">
        <v>1408</v>
      </c>
      <c r="B296" s="7">
        <v>2026</v>
      </c>
      <c r="C296" s="7" t="s">
        <v>261</v>
      </c>
      <c r="D296" s="7" t="s">
        <v>48</v>
      </c>
      <c r="E296" s="7" t="s">
        <v>220</v>
      </c>
      <c r="F296" s="7" t="s">
        <v>597</v>
      </c>
      <c r="G296" s="18">
        <v>46087</v>
      </c>
      <c r="H296" s="18">
        <v>46096</v>
      </c>
      <c r="I296" s="18">
        <v>46203</v>
      </c>
      <c r="J296" s="7" t="str">
        <f>VLOOKUP(D296,Droplist!A:C,3,0)</f>
        <v>Jakob Bluhme</v>
      </c>
      <c r="K296" s="7" t="s">
        <v>297</v>
      </c>
      <c r="L296" s="7" t="s">
        <v>264</v>
      </c>
      <c r="M296" s="7" t="str">
        <f t="shared" si="8"/>
        <v>MAINTENANCE</v>
      </c>
      <c r="N296" s="7" t="s">
        <v>298</v>
      </c>
      <c r="O296" s="7">
        <v>5723</v>
      </c>
      <c r="P296" s="7">
        <v>121</v>
      </c>
      <c r="Q296" s="13">
        <f t="shared" si="9"/>
        <v>47.297520661157023</v>
      </c>
      <c r="R296" s="7" t="s">
        <v>265</v>
      </c>
      <c r="S296" s="7" t="s">
        <v>265</v>
      </c>
      <c r="T296" s="7">
        <v>494.62700000000012</v>
      </c>
      <c r="U296" s="7">
        <v>23.459999999999997</v>
      </c>
      <c r="V296" s="9"/>
    </row>
    <row r="297" spans="1:22" x14ac:dyDescent="0.25">
      <c r="A297" s="7">
        <v>1409</v>
      </c>
      <c r="B297" s="7">
        <v>2026</v>
      </c>
      <c r="C297" s="7" t="s">
        <v>261</v>
      </c>
      <c r="D297" s="7" t="s">
        <v>25</v>
      </c>
      <c r="E297" s="7" t="s">
        <v>490</v>
      </c>
      <c r="F297" s="7" t="s">
        <v>617</v>
      </c>
      <c r="G297" s="18">
        <v>46100</v>
      </c>
      <c r="H297" s="18">
        <v>46113</v>
      </c>
      <c r="I297" s="18">
        <v>46203</v>
      </c>
      <c r="J297" s="7" t="str">
        <f>VLOOKUP(D297,Droplist!A:C,3,0)</f>
        <v>Peter Andersen</v>
      </c>
      <c r="K297" s="7" t="s">
        <v>490</v>
      </c>
      <c r="L297" s="7" t="s">
        <v>264</v>
      </c>
      <c r="M297" s="7" t="str">
        <f t="shared" si="8"/>
        <v>AWARDED</v>
      </c>
      <c r="N297" s="7"/>
      <c r="O297" s="7">
        <v>3050</v>
      </c>
      <c r="P297" s="7">
        <v>64</v>
      </c>
      <c r="Q297" s="13">
        <f t="shared" si="9"/>
        <v>47.65625</v>
      </c>
      <c r="R297" s="7">
        <v>3050</v>
      </c>
      <c r="S297" s="7">
        <v>254</v>
      </c>
      <c r="T297" s="7">
        <v>6.6789999999999994</v>
      </c>
      <c r="U297" s="7">
        <v>23.37</v>
      </c>
      <c r="V297" s="9"/>
    </row>
    <row r="298" spans="1:22" x14ac:dyDescent="0.25">
      <c r="A298" s="7">
        <v>1410</v>
      </c>
      <c r="B298" s="7">
        <v>2026</v>
      </c>
      <c r="C298" s="7" t="s">
        <v>261</v>
      </c>
      <c r="D298" s="7" t="s">
        <v>25</v>
      </c>
      <c r="E298" s="7" t="s">
        <v>305</v>
      </c>
      <c r="F298" s="7" t="s">
        <v>597</v>
      </c>
      <c r="G298" s="18">
        <v>46013</v>
      </c>
      <c r="H298" s="18">
        <v>46023</v>
      </c>
      <c r="I298" s="18">
        <v>46112</v>
      </c>
      <c r="J298" s="7" t="str">
        <f>VLOOKUP(D298,Droplist!A:C,3,0)</f>
        <v>Peter Andersen</v>
      </c>
      <c r="K298" s="7"/>
      <c r="L298" s="7" t="s">
        <v>601</v>
      </c>
      <c r="M298" s="7" t="str">
        <f t="shared" si="8"/>
        <v>PENDING OUTCOME</v>
      </c>
      <c r="N298" s="7"/>
      <c r="O298" s="7">
        <v>3992.06</v>
      </c>
      <c r="P298" s="7">
        <v>133</v>
      </c>
      <c r="Q298" s="13">
        <f t="shared" si="9"/>
        <v>30.015488721804513</v>
      </c>
      <c r="R298" s="7"/>
      <c r="S298" s="7"/>
      <c r="T298" s="7"/>
      <c r="U298" s="7"/>
      <c r="V298" s="9" t="s">
        <v>688</v>
      </c>
    </row>
    <row r="299" spans="1:22" x14ac:dyDescent="0.25">
      <c r="A299" s="7">
        <v>1411</v>
      </c>
      <c r="B299" s="7">
        <v>2026</v>
      </c>
      <c r="C299" s="7" t="s">
        <v>261</v>
      </c>
      <c r="D299" s="7" t="s">
        <v>55</v>
      </c>
      <c r="E299" s="7" t="s">
        <v>689</v>
      </c>
      <c r="F299" s="7" t="s">
        <v>597</v>
      </c>
      <c r="G299" s="18">
        <v>46024</v>
      </c>
      <c r="H299" s="18">
        <v>46024</v>
      </c>
      <c r="I299" s="18">
        <v>46295</v>
      </c>
      <c r="J299" s="7" t="str">
        <f>VLOOKUP(D299,Droplist!A:C,3,0)</f>
        <v>Mette B. Karapetian</v>
      </c>
      <c r="K299" s="7"/>
      <c r="L299" s="7" t="s">
        <v>601</v>
      </c>
      <c r="M299" s="7" t="str">
        <f t="shared" si="8"/>
        <v>PENDING OUTCOME</v>
      </c>
      <c r="N299" s="7"/>
      <c r="O299" s="7">
        <v>2181.69</v>
      </c>
      <c r="P299" s="7">
        <v>54</v>
      </c>
      <c r="Q299" s="13">
        <f t="shared" si="9"/>
        <v>40.401666666666671</v>
      </c>
      <c r="R299" s="7"/>
      <c r="S299" s="7"/>
      <c r="T299" s="7"/>
      <c r="U299" s="7"/>
      <c r="V299" s="9"/>
    </row>
    <row r="300" spans="1:22" x14ac:dyDescent="0.25">
      <c r="A300" s="7">
        <v>1412</v>
      </c>
      <c r="B300" s="7">
        <v>2026</v>
      </c>
      <c r="C300" s="7" t="s">
        <v>261</v>
      </c>
      <c r="D300" s="7" t="s">
        <v>72</v>
      </c>
      <c r="E300" s="7" t="s">
        <v>350</v>
      </c>
      <c r="F300" s="7" t="s">
        <v>597</v>
      </c>
      <c r="G300" s="18">
        <v>46027</v>
      </c>
      <c r="H300" s="18">
        <v>46023</v>
      </c>
      <c r="I300" s="18">
        <v>46112</v>
      </c>
      <c r="J300" s="7" t="str">
        <f>VLOOKUP(D300,Droplist!A:C,3,0)</f>
        <v>Jens Pottschul</v>
      </c>
      <c r="K300" s="7"/>
      <c r="L300" s="7" t="s">
        <v>601</v>
      </c>
      <c r="M300" s="7" t="str">
        <f t="shared" si="8"/>
        <v>PENDING OUTCOME</v>
      </c>
      <c r="N300" s="7"/>
      <c r="O300" s="7">
        <v>26342</v>
      </c>
      <c r="P300" s="7">
        <v>1185</v>
      </c>
      <c r="Q300" s="13">
        <f t="shared" si="9"/>
        <v>22.229535864978903</v>
      </c>
      <c r="R300" s="7"/>
      <c r="S300" s="7"/>
      <c r="T300" s="7"/>
      <c r="U300" s="7"/>
      <c r="V300" s="9" t="s">
        <v>690</v>
      </c>
    </row>
    <row r="301" spans="1:22" x14ac:dyDescent="0.25">
      <c r="A301" s="7">
        <v>1413</v>
      </c>
      <c r="B301" s="7">
        <v>2026</v>
      </c>
      <c r="C301" s="7" t="s">
        <v>261</v>
      </c>
      <c r="D301" s="7" t="s">
        <v>75</v>
      </c>
      <c r="E301" s="7" t="s">
        <v>236</v>
      </c>
      <c r="F301" s="7" t="s">
        <v>597</v>
      </c>
      <c r="G301" s="18">
        <v>46108</v>
      </c>
      <c r="H301" s="18">
        <v>46113</v>
      </c>
      <c r="I301" s="18">
        <v>46203</v>
      </c>
      <c r="J301" s="7" t="str">
        <f>VLOOKUP(D301,Droplist!A:C,3,0)</f>
        <v>Martin Schulz</v>
      </c>
      <c r="K301" s="7" t="s">
        <v>236</v>
      </c>
      <c r="L301" s="7" t="s">
        <v>264</v>
      </c>
      <c r="M301" s="7" t="str">
        <f t="shared" si="8"/>
        <v>AWARDED</v>
      </c>
      <c r="N301" s="7"/>
      <c r="O301" s="7">
        <v>4129</v>
      </c>
      <c r="P301" s="7">
        <v>39</v>
      </c>
      <c r="Q301" s="13">
        <f t="shared" si="9"/>
        <v>105.87179487179488</v>
      </c>
      <c r="R301" s="7"/>
      <c r="S301" s="7">
        <v>84</v>
      </c>
      <c r="T301" s="7"/>
      <c r="U301" s="7">
        <v>18.827999999999999</v>
      </c>
      <c r="V301" s="9" t="s">
        <v>691</v>
      </c>
    </row>
    <row r="302" spans="1:22" ht="34.5" x14ac:dyDescent="0.25">
      <c r="A302" s="7">
        <v>1414</v>
      </c>
      <c r="B302" s="7">
        <v>2026</v>
      </c>
      <c r="C302" s="7" t="s">
        <v>261</v>
      </c>
      <c r="D302" s="7" t="s">
        <v>75</v>
      </c>
      <c r="E302" s="7" t="s">
        <v>220</v>
      </c>
      <c r="F302" s="7" t="s">
        <v>597</v>
      </c>
      <c r="G302" s="18">
        <v>46035</v>
      </c>
      <c r="H302" s="18">
        <v>46035</v>
      </c>
      <c r="I302" s="18">
        <v>46112</v>
      </c>
      <c r="J302" s="7" t="str">
        <f>VLOOKUP(D302,Droplist!A:C,3,0)</f>
        <v>Martin Schulz</v>
      </c>
      <c r="K302" s="7" t="s">
        <v>692</v>
      </c>
      <c r="L302" s="7" t="s">
        <v>264</v>
      </c>
      <c r="M302" s="7" t="str">
        <f t="shared" si="8"/>
        <v>AWARDED</v>
      </c>
      <c r="N302" s="7"/>
      <c r="O302" s="7">
        <v>10962</v>
      </c>
      <c r="P302" s="7">
        <v>120</v>
      </c>
      <c r="Q302" s="13">
        <f t="shared" si="9"/>
        <v>91.35</v>
      </c>
      <c r="R302" s="7">
        <v>1200</v>
      </c>
      <c r="S302" s="7">
        <v>84</v>
      </c>
      <c r="T302" s="7">
        <v>5.7380000000000004</v>
      </c>
      <c r="U302" s="7"/>
      <c r="V302" s="9" t="s">
        <v>693</v>
      </c>
    </row>
    <row r="303" spans="1:22" x14ac:dyDescent="0.25">
      <c r="A303" s="7">
        <v>1415</v>
      </c>
      <c r="B303" s="7">
        <v>2026</v>
      </c>
      <c r="C303" s="7" t="s">
        <v>261</v>
      </c>
      <c r="D303" s="7" t="s">
        <v>80</v>
      </c>
      <c r="E303" s="7" t="s">
        <v>372</v>
      </c>
      <c r="F303" s="7" t="s">
        <v>597</v>
      </c>
      <c r="G303" s="18">
        <v>46022</v>
      </c>
      <c r="H303" s="18">
        <v>46023</v>
      </c>
      <c r="I303" s="18">
        <v>46112</v>
      </c>
      <c r="J303" s="7" t="str">
        <f>VLOOKUP(D303,Droplist!A:C,3,0)</f>
        <v>Jens Pottschul</v>
      </c>
      <c r="K303" s="7"/>
      <c r="L303" s="7" t="s">
        <v>601</v>
      </c>
      <c r="M303" s="7" t="str">
        <f t="shared" si="8"/>
        <v>PENDING OUTCOME</v>
      </c>
      <c r="N303" s="7"/>
      <c r="O303" s="7">
        <v>25174</v>
      </c>
      <c r="P303" s="7">
        <v>598</v>
      </c>
      <c r="Q303" s="13">
        <f t="shared" si="9"/>
        <v>42.096989966555185</v>
      </c>
      <c r="R303" s="7"/>
      <c r="S303" s="7"/>
      <c r="T303" s="7"/>
      <c r="U303" s="7"/>
      <c r="V303" s="9" t="s">
        <v>694</v>
      </c>
    </row>
    <row r="304" spans="1:22" x14ac:dyDescent="0.25">
      <c r="A304" s="7">
        <v>1416</v>
      </c>
      <c r="B304" s="7">
        <v>2026</v>
      </c>
      <c r="C304" s="7" t="s">
        <v>261</v>
      </c>
      <c r="D304" s="7" t="s">
        <v>80</v>
      </c>
      <c r="E304" s="7" t="s">
        <v>653</v>
      </c>
      <c r="F304" s="7" t="s">
        <v>597</v>
      </c>
      <c r="G304" s="18">
        <v>46031</v>
      </c>
      <c r="H304" s="18">
        <v>46031</v>
      </c>
      <c r="I304" s="18">
        <v>46387</v>
      </c>
      <c r="J304" s="7" t="str">
        <f>VLOOKUP(D304,Droplist!A:C,3,0)</f>
        <v>Jens Pottschul</v>
      </c>
      <c r="K304" s="7"/>
      <c r="L304" s="7" t="s">
        <v>601</v>
      </c>
      <c r="M304" s="7" t="str">
        <f t="shared" si="8"/>
        <v>PENDING OUTCOME</v>
      </c>
      <c r="N304" s="7"/>
      <c r="O304" s="7">
        <v>950</v>
      </c>
      <c r="P304" s="7">
        <v>37</v>
      </c>
      <c r="Q304" s="13">
        <f t="shared" si="9"/>
        <v>25.675675675675677</v>
      </c>
      <c r="R304" s="7"/>
      <c r="S304" s="7"/>
      <c r="T304" s="7"/>
      <c r="U304" s="7"/>
      <c r="V304" s="9" t="s">
        <v>684</v>
      </c>
    </row>
    <row r="305" spans="1:22" x14ac:dyDescent="0.25">
      <c r="A305" s="7">
        <v>1417</v>
      </c>
      <c r="B305" s="7">
        <v>2026</v>
      </c>
      <c r="C305" s="7" t="s">
        <v>261</v>
      </c>
      <c r="D305" s="7" t="s">
        <v>567</v>
      </c>
      <c r="E305" s="7" t="s">
        <v>180</v>
      </c>
      <c r="F305" s="7" t="s">
        <v>597</v>
      </c>
      <c r="G305" s="18">
        <v>46098</v>
      </c>
      <c r="H305" s="18">
        <v>46113</v>
      </c>
      <c r="I305" s="18">
        <v>46203</v>
      </c>
      <c r="J305" s="7" t="str">
        <f>VLOOKUP(D305,Droplist!A:C,3,0)</f>
        <v>Susanne Elsborg-Jensen</v>
      </c>
      <c r="K305" s="7" t="s">
        <v>180</v>
      </c>
      <c r="L305" s="7" t="s">
        <v>264</v>
      </c>
      <c r="M305" s="7" t="str">
        <f t="shared" si="8"/>
        <v>AWARDED</v>
      </c>
      <c r="N305" s="7"/>
      <c r="O305" s="7">
        <v>3264</v>
      </c>
      <c r="P305" s="7">
        <v>136</v>
      </c>
      <c r="Q305" s="13">
        <f t="shared" si="9"/>
        <v>24</v>
      </c>
      <c r="R305" s="7">
        <v>480</v>
      </c>
      <c r="S305" s="7">
        <v>40</v>
      </c>
      <c r="T305" s="7">
        <v>23.242000000000001</v>
      </c>
      <c r="U305" s="7">
        <v>9.9649999999999999</v>
      </c>
      <c r="V305" s="9"/>
    </row>
    <row r="306" spans="1:22" ht="23.25" x14ac:dyDescent="0.25">
      <c r="A306" s="7">
        <v>1418</v>
      </c>
      <c r="B306" s="7">
        <v>2026</v>
      </c>
      <c r="C306" s="7" t="s">
        <v>261</v>
      </c>
      <c r="D306" s="7" t="s">
        <v>94</v>
      </c>
      <c r="E306" s="7" t="s">
        <v>487</v>
      </c>
      <c r="F306" s="7" t="s">
        <v>597</v>
      </c>
      <c r="G306" s="18">
        <v>46113</v>
      </c>
      <c r="H306" s="18">
        <v>46113</v>
      </c>
      <c r="I306" s="18">
        <v>46477</v>
      </c>
      <c r="J306" s="7" t="str">
        <f>VLOOKUP(D306,Droplist!A:C,3,0)</f>
        <v>Jens Pottschul</v>
      </c>
      <c r="K306" s="7"/>
      <c r="L306" s="7" t="s">
        <v>601</v>
      </c>
      <c r="M306" s="7" t="str">
        <f t="shared" si="8"/>
        <v>PENDING OUTCOME</v>
      </c>
      <c r="N306" s="7"/>
      <c r="O306" s="7">
        <v>11780</v>
      </c>
      <c r="P306" s="7">
        <v>47</v>
      </c>
      <c r="Q306" s="13">
        <f t="shared" si="9"/>
        <v>250.63829787234042</v>
      </c>
      <c r="R306" s="7"/>
      <c r="S306" s="7"/>
      <c r="T306" s="7"/>
      <c r="U306" s="7"/>
      <c r="V306" s="9" t="s">
        <v>695</v>
      </c>
    </row>
    <row r="307" spans="1:22" x14ac:dyDescent="0.25">
      <c r="A307" s="7">
        <v>1419</v>
      </c>
      <c r="B307" s="7">
        <v>2026</v>
      </c>
      <c r="C307" s="7" t="s">
        <v>261</v>
      </c>
      <c r="D307" s="7" t="s">
        <v>185</v>
      </c>
      <c r="E307" s="7" t="s">
        <v>696</v>
      </c>
      <c r="F307" s="7" t="s">
        <v>597</v>
      </c>
      <c r="G307" s="18">
        <v>46028</v>
      </c>
      <c r="H307" s="18">
        <v>46028</v>
      </c>
      <c r="I307" s="18">
        <v>46112</v>
      </c>
      <c r="J307" s="7" t="str">
        <f>VLOOKUP(D307,Droplist!A:C,3,0)</f>
        <v>Jens Pottschul</v>
      </c>
      <c r="K307" s="7" t="s">
        <v>298</v>
      </c>
      <c r="L307" s="7" t="s">
        <v>601</v>
      </c>
      <c r="M307" s="7" t="str">
        <f t="shared" si="8"/>
        <v>PENDING OUTCOME</v>
      </c>
      <c r="N307" s="7"/>
      <c r="O307" s="7">
        <v>14452</v>
      </c>
      <c r="P307" s="7">
        <v>159</v>
      </c>
      <c r="Q307" s="13">
        <f t="shared" si="9"/>
        <v>90.893081761006286</v>
      </c>
      <c r="R307" s="7"/>
      <c r="S307" s="7"/>
      <c r="T307" s="7"/>
      <c r="U307" s="7"/>
      <c r="V307" s="9"/>
    </row>
    <row r="308" spans="1:22" x14ac:dyDescent="0.25">
      <c r="A308" s="7">
        <v>1420</v>
      </c>
      <c r="B308" s="7">
        <v>2026</v>
      </c>
      <c r="C308" s="7" t="s">
        <v>261</v>
      </c>
      <c r="D308" s="7" t="s">
        <v>226</v>
      </c>
      <c r="E308" s="7" t="s">
        <v>305</v>
      </c>
      <c r="F308" s="7" t="s">
        <v>597</v>
      </c>
      <c r="G308" s="18">
        <v>46029</v>
      </c>
      <c r="H308" s="18">
        <v>46029</v>
      </c>
      <c r="I308" s="18">
        <v>46203</v>
      </c>
      <c r="J308" s="7" t="str">
        <f>VLOOKUP(D308,Droplist!A:C,3,0)</f>
        <v>Martin Schulz</v>
      </c>
      <c r="K308" s="7"/>
      <c r="L308" s="7" t="s">
        <v>267</v>
      </c>
      <c r="M308" s="7" t="str">
        <f t="shared" si="8"/>
        <v>NOT AWARDED</v>
      </c>
      <c r="N308" s="7" t="s">
        <v>697</v>
      </c>
      <c r="O308" s="7">
        <v>1242</v>
      </c>
      <c r="P308" s="7">
        <v>65</v>
      </c>
      <c r="Q308" s="13">
        <f t="shared" si="9"/>
        <v>19.107692307692307</v>
      </c>
      <c r="R308" s="7"/>
      <c r="S308" s="7"/>
      <c r="T308" s="7"/>
      <c r="U308" s="7"/>
      <c r="V308" s="9"/>
    </row>
    <row r="309" spans="1:22" x14ac:dyDescent="0.25">
      <c r="A309" s="7">
        <v>1421</v>
      </c>
      <c r="B309" s="7">
        <v>2026</v>
      </c>
      <c r="C309" s="7" t="s">
        <v>261</v>
      </c>
      <c r="D309" s="7" t="s">
        <v>668</v>
      </c>
      <c r="E309" s="7" t="s">
        <v>698</v>
      </c>
      <c r="F309" s="7" t="s">
        <v>597</v>
      </c>
      <c r="G309" s="18">
        <v>46028</v>
      </c>
      <c r="H309" s="18">
        <v>46028</v>
      </c>
      <c r="I309" s="18">
        <v>46203</v>
      </c>
      <c r="J309" s="7" t="str">
        <f>VLOOKUP(D309,Droplist!A:C,3,0)</f>
        <v>Kevin Taylor</v>
      </c>
      <c r="K309" s="7"/>
      <c r="L309" s="7" t="s">
        <v>601</v>
      </c>
      <c r="M309" s="7" t="str">
        <f t="shared" si="8"/>
        <v>PENDING OUTCOME</v>
      </c>
      <c r="N309" s="7"/>
      <c r="O309" s="7">
        <v>4190</v>
      </c>
      <c r="P309" s="7">
        <v>77</v>
      </c>
      <c r="Q309" s="13">
        <f t="shared" si="9"/>
        <v>54.415584415584412</v>
      </c>
      <c r="R309" s="7"/>
      <c r="S309" s="7"/>
      <c r="T309" s="7">
        <v>0.79800000000000004</v>
      </c>
      <c r="U309" s="7"/>
      <c r="V309" s="9"/>
    </row>
    <row r="310" spans="1:22" x14ac:dyDescent="0.25">
      <c r="A310" s="7">
        <v>1422</v>
      </c>
      <c r="B310" s="7">
        <v>2026</v>
      </c>
      <c r="C310" s="7" t="s">
        <v>261</v>
      </c>
      <c r="D310" s="7" t="s">
        <v>35</v>
      </c>
      <c r="E310" s="7" t="s">
        <v>699</v>
      </c>
      <c r="F310" s="7" t="s">
        <v>597</v>
      </c>
      <c r="G310" s="18">
        <v>46044</v>
      </c>
      <c r="H310" s="18">
        <v>46143</v>
      </c>
      <c r="I310" s="18">
        <v>46203</v>
      </c>
      <c r="J310" s="7" t="str">
        <f>VLOOKUP(D310,Droplist!A:C,3,0)</f>
        <v>Michelle Yu</v>
      </c>
      <c r="K310" s="7"/>
      <c r="L310" s="7" t="s">
        <v>601</v>
      </c>
      <c r="M310" s="7" t="str">
        <f t="shared" si="8"/>
        <v>PENDING OUTCOME</v>
      </c>
      <c r="N310" s="7" t="s">
        <v>700</v>
      </c>
      <c r="O310" s="7">
        <v>1057</v>
      </c>
      <c r="P310" s="7">
        <v>14</v>
      </c>
      <c r="Q310" s="13">
        <f t="shared" si="9"/>
        <v>75.5</v>
      </c>
      <c r="R310" s="7"/>
      <c r="S310" s="7"/>
      <c r="T310" s="7"/>
      <c r="U310" s="7"/>
      <c r="V310" s="9" t="s">
        <v>701</v>
      </c>
    </row>
    <row r="311" spans="1:22" x14ac:dyDescent="0.25">
      <c r="A311" s="7">
        <v>1423</v>
      </c>
      <c r="B311" s="7">
        <v>2026</v>
      </c>
      <c r="C311" s="7" t="s">
        <v>261</v>
      </c>
      <c r="D311" s="7" t="s">
        <v>45</v>
      </c>
      <c r="E311" s="7" t="s">
        <v>305</v>
      </c>
      <c r="F311" s="7" t="s">
        <v>597</v>
      </c>
      <c r="G311" s="18">
        <v>46044</v>
      </c>
      <c r="H311" s="18">
        <v>46054</v>
      </c>
      <c r="I311" s="18">
        <v>46203</v>
      </c>
      <c r="J311" s="7" t="str">
        <f>VLOOKUP(D311,Droplist!A:C,3,0)</f>
        <v>Dennis Frankowski</v>
      </c>
      <c r="K311" s="7"/>
      <c r="L311" s="7" t="s">
        <v>601</v>
      </c>
      <c r="M311" s="7" t="str">
        <f t="shared" si="8"/>
        <v>PENDING OUTCOME</v>
      </c>
      <c r="N311" s="7"/>
      <c r="O311" s="7">
        <v>11000</v>
      </c>
      <c r="P311" s="7">
        <v>192</v>
      </c>
      <c r="Q311" s="13">
        <f t="shared" si="9"/>
        <v>57.291666666666664</v>
      </c>
      <c r="R311" s="7"/>
      <c r="S311" s="7"/>
      <c r="T311" s="7"/>
      <c r="U311" s="7"/>
      <c r="V311" s="9"/>
    </row>
    <row r="312" spans="1:22" x14ac:dyDescent="0.25">
      <c r="A312" s="7">
        <v>1424</v>
      </c>
      <c r="B312" s="7">
        <v>2026</v>
      </c>
      <c r="C312" s="7" t="s">
        <v>261</v>
      </c>
      <c r="D312" s="7" t="s">
        <v>48</v>
      </c>
      <c r="E312" s="7" t="s">
        <v>321</v>
      </c>
      <c r="F312" s="7" t="s">
        <v>597</v>
      </c>
      <c r="G312" s="18">
        <v>46042</v>
      </c>
      <c r="H312" s="18">
        <v>46054</v>
      </c>
      <c r="I312" s="18">
        <v>46142</v>
      </c>
      <c r="J312" s="7" t="str">
        <f>VLOOKUP(D312,Droplist!A:C,3,0)</f>
        <v>Jakob Bluhme</v>
      </c>
      <c r="K312" s="7" t="s">
        <v>321</v>
      </c>
      <c r="L312" s="7" t="s">
        <v>264</v>
      </c>
      <c r="M312" s="7" t="str">
        <f t="shared" si="8"/>
        <v>MAINTENANCE</v>
      </c>
      <c r="N312" s="7"/>
      <c r="O312" s="7">
        <v>7720</v>
      </c>
      <c r="P312" s="7">
        <v>1006</v>
      </c>
      <c r="Q312" s="13">
        <f t="shared" si="9"/>
        <v>7.6739562624254472</v>
      </c>
      <c r="R312" s="7">
        <v>986</v>
      </c>
      <c r="S312" s="7">
        <v>89.636363636363598</v>
      </c>
      <c r="T312" s="7">
        <v>639.05300000000034</v>
      </c>
      <c r="U312" s="7">
        <v>143.80600000000001</v>
      </c>
      <c r="V312" s="9" t="s">
        <v>702</v>
      </c>
    </row>
    <row r="313" spans="1:22" x14ac:dyDescent="0.25">
      <c r="A313" s="7">
        <v>1425</v>
      </c>
      <c r="B313" s="7">
        <v>2026</v>
      </c>
      <c r="C313" s="7" t="s">
        <v>261</v>
      </c>
      <c r="D313" s="7" t="s">
        <v>48</v>
      </c>
      <c r="E313" s="7" t="s">
        <v>312</v>
      </c>
      <c r="F313" s="7" t="s">
        <v>617</v>
      </c>
      <c r="G313" s="18">
        <v>46038</v>
      </c>
      <c r="H313" s="18">
        <v>46054</v>
      </c>
      <c r="I313" s="18">
        <v>46142</v>
      </c>
      <c r="J313" s="7" t="str">
        <f>VLOOKUP(D313,Droplist!A:C,3,0)</f>
        <v>Jakob Bluhme</v>
      </c>
      <c r="K313" s="7" t="s">
        <v>313</v>
      </c>
      <c r="L313" s="7" t="s">
        <v>264</v>
      </c>
      <c r="M313" s="7" t="str">
        <f t="shared" si="8"/>
        <v>PRIME</v>
      </c>
      <c r="N313" s="7"/>
      <c r="O313" s="7">
        <v>1650</v>
      </c>
      <c r="P313" s="7">
        <v>13</v>
      </c>
      <c r="Q313" s="13">
        <f t="shared" si="9"/>
        <v>126.92307692307692</v>
      </c>
      <c r="R313" s="7">
        <v>850</v>
      </c>
      <c r="S313" s="7">
        <v>85</v>
      </c>
      <c r="T313" s="7">
        <v>707.37900000000036</v>
      </c>
      <c r="U313" s="7">
        <v>119.09100000000002</v>
      </c>
      <c r="V313" s="9"/>
    </row>
    <row r="314" spans="1:22" x14ac:dyDescent="0.25">
      <c r="A314" s="7">
        <v>1426</v>
      </c>
      <c r="B314" s="7">
        <v>2026</v>
      </c>
      <c r="C314" s="7" t="s">
        <v>261</v>
      </c>
      <c r="D314" s="7" t="s">
        <v>48</v>
      </c>
      <c r="E314" s="7" t="s">
        <v>323</v>
      </c>
      <c r="F314" s="7" t="s">
        <v>617</v>
      </c>
      <c r="G314" s="18">
        <v>46038</v>
      </c>
      <c r="H314" s="18">
        <v>46054</v>
      </c>
      <c r="I314" s="18">
        <v>46142</v>
      </c>
      <c r="J314" s="7" t="str">
        <f>VLOOKUP(D314,Droplist!A:C,3,0)</f>
        <v>Jakob Bluhme</v>
      </c>
      <c r="K314" s="7" t="s">
        <v>323</v>
      </c>
      <c r="L314" s="7" t="s">
        <v>264</v>
      </c>
      <c r="M314" s="7" t="str">
        <f t="shared" si="8"/>
        <v>MAINTENANCE</v>
      </c>
      <c r="N314" s="7"/>
      <c r="O314" s="7">
        <v>4458</v>
      </c>
      <c r="P314" s="7">
        <v>74</v>
      </c>
      <c r="Q314" s="13">
        <f t="shared" si="9"/>
        <v>60.243243243243242</v>
      </c>
      <c r="R314" s="7">
        <v>848</v>
      </c>
      <c r="S314" s="7">
        <v>71</v>
      </c>
      <c r="T314" s="7">
        <v>377.57499999999993</v>
      </c>
      <c r="U314" s="7">
        <v>29.474999999999998</v>
      </c>
      <c r="V314" s="9"/>
    </row>
    <row r="315" spans="1:22" x14ac:dyDescent="0.25">
      <c r="A315" s="7">
        <v>1427</v>
      </c>
      <c r="B315" s="7">
        <v>2026</v>
      </c>
      <c r="C315" s="7" t="s">
        <v>261</v>
      </c>
      <c r="D315" s="7" t="s">
        <v>48</v>
      </c>
      <c r="E315" s="7" t="s">
        <v>394</v>
      </c>
      <c r="F315" s="7" t="s">
        <v>617</v>
      </c>
      <c r="G315" s="18">
        <v>46038</v>
      </c>
      <c r="H315" s="18">
        <v>46054</v>
      </c>
      <c r="I315" s="18">
        <v>46142</v>
      </c>
      <c r="J315" s="7" t="str">
        <f>VLOOKUP(D315,Droplist!A:C,3,0)</f>
        <v>Jakob Bluhme</v>
      </c>
      <c r="K315" s="7" t="s">
        <v>394</v>
      </c>
      <c r="L315" s="7" t="s">
        <v>264</v>
      </c>
      <c r="M315" s="7" t="str">
        <f t="shared" si="8"/>
        <v>MAINTENANCE</v>
      </c>
      <c r="N315" s="7"/>
      <c r="O315" s="7">
        <v>26814</v>
      </c>
      <c r="P315" s="7">
        <v>437</v>
      </c>
      <c r="Q315" s="13">
        <f t="shared" si="9"/>
        <v>61.359267734553775</v>
      </c>
      <c r="R315" s="7" t="s">
        <v>265</v>
      </c>
      <c r="S315" s="7" t="s">
        <v>265</v>
      </c>
      <c r="T315" s="7">
        <v>321.077</v>
      </c>
      <c r="U315" s="7">
        <v>30.954999999999998</v>
      </c>
      <c r="V315" s="9"/>
    </row>
    <row r="316" spans="1:22" x14ac:dyDescent="0.25">
      <c r="A316" s="7">
        <v>1428</v>
      </c>
      <c r="B316" s="7">
        <v>2026</v>
      </c>
      <c r="C316" s="7" t="s">
        <v>261</v>
      </c>
      <c r="D316" s="7" t="s">
        <v>48</v>
      </c>
      <c r="E316" s="7" t="s">
        <v>223</v>
      </c>
      <c r="F316" s="7" t="s">
        <v>617</v>
      </c>
      <c r="G316" s="18">
        <v>46100</v>
      </c>
      <c r="H316" s="18">
        <v>46113</v>
      </c>
      <c r="I316" s="18">
        <v>46203</v>
      </c>
      <c r="J316" s="7" t="str">
        <f>VLOOKUP(D316,Droplist!A:C,3,0)</f>
        <v>Jakob Bluhme</v>
      </c>
      <c r="K316" s="7" t="s">
        <v>223</v>
      </c>
      <c r="L316" s="7" t="s">
        <v>264</v>
      </c>
      <c r="M316" s="7" t="str">
        <f t="shared" si="8"/>
        <v>AWARDED</v>
      </c>
      <c r="N316" s="7"/>
      <c r="O316" s="7">
        <v>18000</v>
      </c>
      <c r="P316" s="7">
        <v>382</v>
      </c>
      <c r="Q316" s="13">
        <f t="shared" si="9"/>
        <v>47.120418848167539</v>
      </c>
      <c r="R316" s="7" t="s">
        <v>265</v>
      </c>
      <c r="S316" s="7" t="s">
        <v>265</v>
      </c>
      <c r="T316" s="7">
        <v>193.06300000000002</v>
      </c>
      <c r="U316" s="7">
        <v>88.70999999999998</v>
      </c>
      <c r="V316" s="9"/>
    </row>
    <row r="317" spans="1:22" x14ac:dyDescent="0.25">
      <c r="A317" s="7">
        <v>1429</v>
      </c>
      <c r="B317" s="7">
        <v>2026</v>
      </c>
      <c r="C317" s="7" t="s">
        <v>261</v>
      </c>
      <c r="D317" s="7" t="s">
        <v>48</v>
      </c>
      <c r="E317" s="7" t="s">
        <v>501</v>
      </c>
      <c r="F317" s="7" t="s">
        <v>617</v>
      </c>
      <c r="G317" s="18">
        <v>46038</v>
      </c>
      <c r="H317" s="18">
        <v>46054</v>
      </c>
      <c r="I317" s="18">
        <v>46142</v>
      </c>
      <c r="J317" s="7" t="str">
        <f>VLOOKUP(D317,Droplist!A:C,3,0)</f>
        <v>Jakob Bluhme</v>
      </c>
      <c r="K317" s="7" t="s">
        <v>501</v>
      </c>
      <c r="L317" s="7" t="s">
        <v>264</v>
      </c>
      <c r="M317" s="7" t="str">
        <f t="shared" si="8"/>
        <v>AWARDED</v>
      </c>
      <c r="N317" s="7"/>
      <c r="O317" s="7">
        <v>18094</v>
      </c>
      <c r="P317" s="7">
        <v>360</v>
      </c>
      <c r="Q317" s="13">
        <f t="shared" si="9"/>
        <v>50.261111111111113</v>
      </c>
      <c r="R317" s="7">
        <v>457</v>
      </c>
      <c r="S317" s="7">
        <v>50</v>
      </c>
      <c r="T317" s="7"/>
      <c r="U317" s="7"/>
      <c r="V317" s="9"/>
    </row>
    <row r="318" spans="1:22" x14ac:dyDescent="0.25">
      <c r="A318" s="7">
        <v>1430</v>
      </c>
      <c r="B318" s="7">
        <v>2026</v>
      </c>
      <c r="C318" s="7" t="s">
        <v>261</v>
      </c>
      <c r="D318" s="7" t="s">
        <v>48</v>
      </c>
      <c r="E318" s="7" t="s">
        <v>209</v>
      </c>
      <c r="F318" s="7" t="s">
        <v>617</v>
      </c>
      <c r="G318" s="18">
        <v>46038</v>
      </c>
      <c r="H318" s="18">
        <v>46054</v>
      </c>
      <c r="I318" s="18">
        <v>46142</v>
      </c>
      <c r="J318" s="7" t="str">
        <f>VLOOKUP(D318,Droplist!A:C,3,0)</f>
        <v>Jakob Bluhme</v>
      </c>
      <c r="K318" s="7" t="s">
        <v>209</v>
      </c>
      <c r="L318" s="7" t="s">
        <v>264</v>
      </c>
      <c r="M318" s="7" t="str">
        <f t="shared" si="8"/>
        <v>AWARDED</v>
      </c>
      <c r="N318" s="7"/>
      <c r="O318" s="7">
        <v>1439</v>
      </c>
      <c r="P318" s="7">
        <v>44</v>
      </c>
      <c r="Q318" s="13">
        <f t="shared" si="9"/>
        <v>32.704545454545453</v>
      </c>
      <c r="R318" s="7">
        <v>388</v>
      </c>
      <c r="S318" s="7">
        <v>35</v>
      </c>
      <c r="T318" s="7">
        <v>52.088000000000015</v>
      </c>
      <c r="U318" s="7">
        <v>47.199999999999996</v>
      </c>
      <c r="V318" s="9"/>
    </row>
    <row r="319" spans="1:22" x14ac:dyDescent="0.25">
      <c r="A319" s="7">
        <v>1431</v>
      </c>
      <c r="B319" s="7">
        <v>2026</v>
      </c>
      <c r="C319" s="7" t="s">
        <v>261</v>
      </c>
      <c r="D319" s="7" t="s">
        <v>48</v>
      </c>
      <c r="E319" s="7" t="s">
        <v>542</v>
      </c>
      <c r="F319" s="7" t="s">
        <v>617</v>
      </c>
      <c r="G319" s="18">
        <v>46038</v>
      </c>
      <c r="H319" s="18">
        <v>46054</v>
      </c>
      <c r="I319" s="18">
        <v>46142</v>
      </c>
      <c r="J319" s="7" t="str">
        <f>VLOOKUP(D319,Droplist!A:C,3,0)</f>
        <v>Jakob Bluhme</v>
      </c>
      <c r="K319" s="7" t="s">
        <v>542</v>
      </c>
      <c r="L319" s="7" t="s">
        <v>264</v>
      </c>
      <c r="M319" s="7" t="str">
        <f t="shared" si="8"/>
        <v>MAINTENANCE</v>
      </c>
      <c r="N319" s="7"/>
      <c r="O319" s="7">
        <v>3234</v>
      </c>
      <c r="P319" s="7">
        <v>173</v>
      </c>
      <c r="Q319" s="13">
        <f t="shared" si="9"/>
        <v>18.693641618497111</v>
      </c>
      <c r="R319" s="7">
        <v>710</v>
      </c>
      <c r="S319" s="7">
        <v>60</v>
      </c>
      <c r="T319" s="7">
        <v>353.29699999999974</v>
      </c>
      <c r="U319" s="7">
        <v>27.964000000000002</v>
      </c>
      <c r="V319" s="9"/>
    </row>
    <row r="320" spans="1:22" x14ac:dyDescent="0.25">
      <c r="A320" s="7">
        <v>1432</v>
      </c>
      <c r="B320" s="7">
        <v>2026</v>
      </c>
      <c r="C320" s="7" t="s">
        <v>261</v>
      </c>
      <c r="D320" s="7" t="s">
        <v>48</v>
      </c>
      <c r="E320" s="7" t="s">
        <v>193</v>
      </c>
      <c r="F320" s="7" t="s">
        <v>617</v>
      </c>
      <c r="G320" s="18">
        <v>46038</v>
      </c>
      <c r="H320" s="18">
        <v>46054</v>
      </c>
      <c r="I320" s="18">
        <v>46142</v>
      </c>
      <c r="J320" s="7" t="str">
        <f>VLOOKUP(D320,Droplist!A:C,3,0)</f>
        <v>Jakob Bluhme</v>
      </c>
      <c r="K320" s="7" t="s">
        <v>193</v>
      </c>
      <c r="L320" s="7" t="s">
        <v>264</v>
      </c>
      <c r="M320" s="7" t="str">
        <f t="shared" si="8"/>
        <v>AWARDED</v>
      </c>
      <c r="N320" s="7"/>
      <c r="O320" s="7">
        <v>5483</v>
      </c>
      <c r="P320" s="7">
        <v>65</v>
      </c>
      <c r="Q320" s="13">
        <f t="shared" si="9"/>
        <v>84.353846153846149</v>
      </c>
      <c r="R320" s="7" t="s">
        <v>265</v>
      </c>
      <c r="S320" s="7" t="s">
        <v>265</v>
      </c>
      <c r="T320" s="7"/>
      <c r="U320" s="7"/>
      <c r="V320" s="9"/>
    </row>
    <row r="321" spans="1:22" x14ac:dyDescent="0.25">
      <c r="A321" s="7">
        <v>1433</v>
      </c>
      <c r="B321" s="7">
        <v>2026</v>
      </c>
      <c r="C321" s="7" t="s">
        <v>261</v>
      </c>
      <c r="D321" s="7" t="s">
        <v>48</v>
      </c>
      <c r="E321" s="7" t="s">
        <v>196</v>
      </c>
      <c r="F321" s="7" t="s">
        <v>617</v>
      </c>
      <c r="G321" s="18">
        <v>46038</v>
      </c>
      <c r="H321" s="18">
        <v>46054</v>
      </c>
      <c r="I321" s="18">
        <v>46142</v>
      </c>
      <c r="J321" s="7" t="str">
        <f>VLOOKUP(D321,Droplist!A:C,3,0)</f>
        <v>Jakob Bluhme</v>
      </c>
      <c r="K321" s="7" t="s">
        <v>196</v>
      </c>
      <c r="L321" s="7" t="s">
        <v>264</v>
      </c>
      <c r="M321" s="7" t="str">
        <f t="shared" si="8"/>
        <v>AWARDED</v>
      </c>
      <c r="N321" s="7"/>
      <c r="O321" s="7">
        <v>7966</v>
      </c>
      <c r="P321" s="7">
        <v>352</v>
      </c>
      <c r="Q321" s="13">
        <f t="shared" si="9"/>
        <v>22.630681818181817</v>
      </c>
      <c r="R321" s="7">
        <v>1689</v>
      </c>
      <c r="S321" s="7">
        <v>140</v>
      </c>
      <c r="T321" s="7">
        <v>12.62</v>
      </c>
      <c r="U321" s="7">
        <v>5.3950000000000005</v>
      </c>
      <c r="V321" s="9"/>
    </row>
    <row r="322" spans="1:22" x14ac:dyDescent="0.25">
      <c r="A322" s="7">
        <v>1434</v>
      </c>
      <c r="B322" s="7">
        <v>2026</v>
      </c>
      <c r="C322" s="7" t="s">
        <v>261</v>
      </c>
      <c r="D322" s="7" t="s">
        <v>84</v>
      </c>
      <c r="E322" s="7" t="s">
        <v>198</v>
      </c>
      <c r="F322" s="7" t="s">
        <v>597</v>
      </c>
      <c r="G322" s="18">
        <v>46105</v>
      </c>
      <c r="H322" s="18">
        <v>46113</v>
      </c>
      <c r="I322" s="18">
        <v>46203</v>
      </c>
      <c r="J322" s="7" t="str">
        <f>VLOOKUP(D322,Droplist!A:C,3,0)</f>
        <v>Martin Schulz</v>
      </c>
      <c r="K322" s="7" t="s">
        <v>198</v>
      </c>
      <c r="L322" s="7" t="s">
        <v>264</v>
      </c>
      <c r="M322" s="7" t="str">
        <f t="shared" ref="M322:M374" si="10">IF(L322&lt;&gt;"AWARDED",L322,IF(NOT(ISNUMBER(T322)),L322,IF(T322&gt;=700,"PRIME",IF(T322&gt;=250,"MAINTENANCE",L322))))</f>
        <v>AWARDED</v>
      </c>
      <c r="N322" s="7"/>
      <c r="O322" s="7">
        <v>3000</v>
      </c>
      <c r="P322" s="7">
        <v>189</v>
      </c>
      <c r="Q322" s="13">
        <f t="shared" si="9"/>
        <v>15.873015873015873</v>
      </c>
      <c r="R322" s="7" t="s">
        <v>265</v>
      </c>
      <c r="S322" s="7" t="s">
        <v>265</v>
      </c>
      <c r="T322" s="7"/>
      <c r="U322" s="7"/>
      <c r="V322" s="9" t="s">
        <v>703</v>
      </c>
    </row>
    <row r="323" spans="1:22" x14ac:dyDescent="0.25">
      <c r="A323" s="7">
        <v>1435</v>
      </c>
      <c r="B323" s="7">
        <v>2026</v>
      </c>
      <c r="C323" s="7" t="s">
        <v>261</v>
      </c>
      <c r="D323" s="7" t="s">
        <v>87</v>
      </c>
      <c r="E323" s="7" t="s">
        <v>704</v>
      </c>
      <c r="F323" s="7" t="s">
        <v>597</v>
      </c>
      <c r="G323" s="18">
        <v>46045</v>
      </c>
      <c r="H323" s="18">
        <v>46045</v>
      </c>
      <c r="I323" s="18">
        <v>46326</v>
      </c>
      <c r="J323" s="7" t="str">
        <f>VLOOKUP(D323,Droplist!A:C,3,0)</f>
        <v>Martin Schulz</v>
      </c>
      <c r="K323" s="7"/>
      <c r="L323" s="7" t="s">
        <v>267</v>
      </c>
      <c r="M323" s="7" t="str">
        <f t="shared" si="10"/>
        <v>NOT AWARDED</v>
      </c>
      <c r="N323" s="7" t="s">
        <v>705</v>
      </c>
      <c r="O323" s="7">
        <v>2032</v>
      </c>
      <c r="P323" s="7">
        <v>52</v>
      </c>
      <c r="Q323" s="13">
        <f t="shared" ref="Q323:Q374" si="11">O323/P323</f>
        <v>39.07692307692308</v>
      </c>
      <c r="R323" s="7"/>
      <c r="S323" s="7"/>
      <c r="T323" s="7"/>
      <c r="U323" s="7"/>
      <c r="V323" s="9" t="s">
        <v>706</v>
      </c>
    </row>
    <row r="324" spans="1:22" x14ac:dyDescent="0.25">
      <c r="A324" s="7">
        <v>1436</v>
      </c>
      <c r="B324" s="7">
        <v>2026</v>
      </c>
      <c r="C324" s="7" t="s">
        <v>261</v>
      </c>
      <c r="D324" s="7" t="s">
        <v>45</v>
      </c>
      <c r="E324" s="7" t="s">
        <v>707</v>
      </c>
      <c r="F324" s="7" t="s">
        <v>597</v>
      </c>
      <c r="G324" s="18">
        <v>46057</v>
      </c>
      <c r="H324" s="18">
        <v>46058</v>
      </c>
      <c r="I324" s="18">
        <v>46174</v>
      </c>
      <c r="J324" s="7" t="str">
        <f>VLOOKUP(D324,Droplist!A:C,3,0)</f>
        <v>Dennis Frankowski</v>
      </c>
      <c r="K324" s="7"/>
      <c r="L324" s="7" t="s">
        <v>601</v>
      </c>
      <c r="M324" s="7" t="str">
        <f t="shared" si="10"/>
        <v>PENDING OUTCOME</v>
      </c>
      <c r="N324" s="7"/>
      <c r="O324" s="7">
        <v>1533</v>
      </c>
      <c r="P324" s="7">
        <v>92</v>
      </c>
      <c r="Q324" s="13">
        <f t="shared" si="11"/>
        <v>16.663043478260871</v>
      </c>
      <c r="R324" s="7"/>
      <c r="S324" s="7"/>
      <c r="T324" s="7"/>
      <c r="U324" s="7"/>
      <c r="V324" s="9" t="s">
        <v>631</v>
      </c>
    </row>
    <row r="325" spans="1:22" x14ac:dyDescent="0.25">
      <c r="A325" s="7">
        <v>1437</v>
      </c>
      <c r="B325" s="7">
        <v>2026</v>
      </c>
      <c r="C325" s="7" t="s">
        <v>261</v>
      </c>
      <c r="D325" s="7" t="s">
        <v>75</v>
      </c>
      <c r="E325" s="7" t="s">
        <v>293</v>
      </c>
      <c r="F325" s="7" t="s">
        <v>617</v>
      </c>
      <c r="G325" s="18">
        <v>46111</v>
      </c>
      <c r="H325" s="18">
        <v>46113</v>
      </c>
      <c r="I325" s="18">
        <v>46203</v>
      </c>
      <c r="J325" s="7" t="str">
        <f>VLOOKUP(D325,Droplist!A:C,3,0)</f>
        <v>Martin Schulz</v>
      </c>
      <c r="K325" s="7" t="s">
        <v>294</v>
      </c>
      <c r="L325" s="7" t="s">
        <v>264</v>
      </c>
      <c r="M325" s="7" t="str">
        <f t="shared" si="10"/>
        <v>PRIME</v>
      </c>
      <c r="N325" s="7"/>
      <c r="O325" s="7">
        <v>9700</v>
      </c>
      <c r="P325" s="7">
        <v>368</v>
      </c>
      <c r="Q325" s="13">
        <f t="shared" si="11"/>
        <v>26.358695652173914</v>
      </c>
      <c r="R325" s="7">
        <v>6200</v>
      </c>
      <c r="S325" s="7">
        <v>517</v>
      </c>
      <c r="T325" s="7">
        <v>2619.891000000001</v>
      </c>
      <c r="U325" s="7">
        <v>354.4529999999998</v>
      </c>
      <c r="V325" s="9"/>
    </row>
    <row r="326" spans="1:22" x14ac:dyDescent="0.25">
      <c r="A326" s="7">
        <v>1438</v>
      </c>
      <c r="B326" s="7">
        <v>2026</v>
      </c>
      <c r="C326" s="7" t="s">
        <v>261</v>
      </c>
      <c r="D326" s="7" t="s">
        <v>45</v>
      </c>
      <c r="E326" s="7" t="s">
        <v>708</v>
      </c>
      <c r="F326" s="7" t="s">
        <v>597</v>
      </c>
      <c r="G326" s="18">
        <v>46048</v>
      </c>
      <c r="H326" s="18">
        <v>46054</v>
      </c>
      <c r="I326" s="18">
        <v>46387</v>
      </c>
      <c r="J326" s="7" t="str">
        <f>VLOOKUP(D326,Droplist!A:C,3,0)</f>
        <v>Dennis Frankowski</v>
      </c>
      <c r="K326" s="7"/>
      <c r="L326" s="7" t="s">
        <v>601</v>
      </c>
      <c r="M326" s="7" t="str">
        <f t="shared" si="10"/>
        <v>PENDING OUTCOME</v>
      </c>
      <c r="N326" s="7"/>
      <c r="O326" s="7">
        <v>2934</v>
      </c>
      <c r="P326" s="7">
        <v>98</v>
      </c>
      <c r="Q326" s="13">
        <f t="shared" si="11"/>
        <v>29.938775510204081</v>
      </c>
      <c r="R326" s="7"/>
      <c r="S326" s="7"/>
      <c r="T326" s="7"/>
      <c r="U326" s="7"/>
      <c r="V326" s="9" t="s">
        <v>709</v>
      </c>
    </row>
    <row r="327" spans="1:22" x14ac:dyDescent="0.25">
      <c r="A327" s="7">
        <v>1439</v>
      </c>
      <c r="B327" s="7">
        <v>2026</v>
      </c>
      <c r="C327" s="7" t="s">
        <v>261</v>
      </c>
      <c r="D327" s="7" t="s">
        <v>80</v>
      </c>
      <c r="E327" s="7" t="s">
        <v>501</v>
      </c>
      <c r="F327" s="7" t="s">
        <v>597</v>
      </c>
      <c r="G327" s="18">
        <v>46049</v>
      </c>
      <c r="H327" s="18">
        <v>46143</v>
      </c>
      <c r="I327" s="18">
        <v>46387</v>
      </c>
      <c r="J327" s="7" t="str">
        <f>VLOOKUP(D327,Droplist!A:C,3,0)</f>
        <v>Jens Pottschul</v>
      </c>
      <c r="K327" s="7"/>
      <c r="L327" s="7" t="s">
        <v>601</v>
      </c>
      <c r="M327" s="7" t="str">
        <f t="shared" si="10"/>
        <v>PENDING OUTCOME</v>
      </c>
      <c r="N327" s="7"/>
      <c r="O327" s="7">
        <v>16887</v>
      </c>
      <c r="P327" s="7">
        <v>671</v>
      </c>
      <c r="Q327" s="13">
        <f t="shared" si="11"/>
        <v>25.166915052160952</v>
      </c>
      <c r="R327" s="7"/>
      <c r="S327" s="7"/>
      <c r="T327" s="7"/>
      <c r="U327" s="7"/>
      <c r="V327" s="9" t="s">
        <v>710</v>
      </c>
    </row>
    <row r="328" spans="1:22" x14ac:dyDescent="0.25">
      <c r="A328" s="7">
        <v>1440</v>
      </c>
      <c r="B328" s="7">
        <v>2026</v>
      </c>
      <c r="C328" s="7" t="s">
        <v>261</v>
      </c>
      <c r="D328" s="7" t="s">
        <v>101</v>
      </c>
      <c r="E328" s="7" t="s">
        <v>711</v>
      </c>
      <c r="F328" s="7" t="s">
        <v>597</v>
      </c>
      <c r="G328" s="18">
        <v>46049</v>
      </c>
      <c r="H328" s="18">
        <v>46082</v>
      </c>
      <c r="I328" s="18">
        <v>46203</v>
      </c>
      <c r="J328" s="7" t="str">
        <f>VLOOKUP(D328,Droplist!A:C,3,0)</f>
        <v>Jakob Bluhme</v>
      </c>
      <c r="K328" s="7" t="s">
        <v>712</v>
      </c>
      <c r="L328" s="7" t="s">
        <v>264</v>
      </c>
      <c r="M328" s="7" t="str">
        <f t="shared" si="10"/>
        <v>AWARDED</v>
      </c>
      <c r="N328" s="7"/>
      <c r="O328" s="7">
        <v>2118</v>
      </c>
      <c r="P328" s="7">
        <v>52</v>
      </c>
      <c r="Q328" s="13">
        <f t="shared" si="11"/>
        <v>40.730769230769234</v>
      </c>
      <c r="R328" s="7">
        <v>2118</v>
      </c>
      <c r="S328" s="7">
        <v>180</v>
      </c>
      <c r="T328" s="7"/>
      <c r="U328" s="7">
        <v>162.31299999999999</v>
      </c>
      <c r="V328" s="9"/>
    </row>
    <row r="329" spans="1:22" x14ac:dyDescent="0.25">
      <c r="A329" s="7">
        <v>1441</v>
      </c>
      <c r="B329" s="7">
        <v>2026</v>
      </c>
      <c r="C329" s="7" t="s">
        <v>261</v>
      </c>
      <c r="D329" s="7" t="s">
        <v>104</v>
      </c>
      <c r="E329" s="7" t="s">
        <v>713</v>
      </c>
      <c r="F329" s="7" t="s">
        <v>597</v>
      </c>
      <c r="G329" s="18">
        <v>46050</v>
      </c>
      <c r="H329" s="18">
        <v>46054</v>
      </c>
      <c r="I329" s="18">
        <v>46387</v>
      </c>
      <c r="J329" s="7" t="str">
        <f>VLOOKUP(D329,Droplist!A:C,3,0)</f>
        <v>Martin Schulz</v>
      </c>
      <c r="K329" s="7"/>
      <c r="L329" s="7" t="s">
        <v>601</v>
      </c>
      <c r="M329" s="7" t="str">
        <f t="shared" si="10"/>
        <v>PENDING OUTCOME</v>
      </c>
      <c r="N329" s="7"/>
      <c r="O329" s="7">
        <v>45978</v>
      </c>
      <c r="P329" s="7">
        <v>2844</v>
      </c>
      <c r="Q329" s="13">
        <f t="shared" si="11"/>
        <v>16.166666666666668</v>
      </c>
      <c r="R329" s="7"/>
      <c r="S329" s="7"/>
      <c r="T329" s="7"/>
      <c r="U329" s="7"/>
      <c r="V329" s="9"/>
    </row>
    <row r="330" spans="1:22" x14ac:dyDescent="0.25">
      <c r="A330" s="7">
        <v>1442</v>
      </c>
      <c r="B330" s="7">
        <v>2026</v>
      </c>
      <c r="C330" s="7" t="s">
        <v>261</v>
      </c>
      <c r="D330" s="7" t="s">
        <v>45</v>
      </c>
      <c r="E330" s="7" t="s">
        <v>380</v>
      </c>
      <c r="F330" s="7" t="s">
        <v>597</v>
      </c>
      <c r="G330" s="18">
        <v>46049</v>
      </c>
      <c r="H330" s="18">
        <v>46049</v>
      </c>
      <c r="I330" s="18">
        <v>46387</v>
      </c>
      <c r="J330" s="7" t="str">
        <f>VLOOKUP(D330,Droplist!A:C,3,0)</f>
        <v>Dennis Frankowski</v>
      </c>
      <c r="K330" s="7"/>
      <c r="L330" s="7" t="s">
        <v>601</v>
      </c>
      <c r="M330" s="7" t="str">
        <f t="shared" si="10"/>
        <v>PENDING OUTCOME</v>
      </c>
      <c r="N330" s="7"/>
      <c r="O330" s="7">
        <v>15410</v>
      </c>
      <c r="P330" s="7">
        <v>66</v>
      </c>
      <c r="Q330" s="13">
        <f t="shared" si="11"/>
        <v>233.4848484848485</v>
      </c>
      <c r="R330" s="7"/>
      <c r="S330" s="7"/>
      <c r="T330" s="7"/>
      <c r="U330" s="7"/>
      <c r="V330" s="9" t="s">
        <v>714</v>
      </c>
    </row>
    <row r="331" spans="1:22" x14ac:dyDescent="0.25">
      <c r="A331" s="7">
        <v>1443</v>
      </c>
      <c r="B331" s="7">
        <v>2026</v>
      </c>
      <c r="C331" s="7" t="s">
        <v>261</v>
      </c>
      <c r="D331" s="7" t="s">
        <v>87</v>
      </c>
      <c r="E331" s="7" t="s">
        <v>366</v>
      </c>
      <c r="F331" s="7" t="s">
        <v>597</v>
      </c>
      <c r="G331" s="18">
        <v>46051</v>
      </c>
      <c r="H331" s="18">
        <v>46054</v>
      </c>
      <c r="I331" s="18">
        <v>46387</v>
      </c>
      <c r="J331" s="7" t="str">
        <f>VLOOKUP(D331,Droplist!A:C,3,0)</f>
        <v>Martin Schulz</v>
      </c>
      <c r="K331" s="7"/>
      <c r="L331" s="7" t="s">
        <v>601</v>
      </c>
      <c r="M331" s="7" t="str">
        <f t="shared" si="10"/>
        <v>PENDING OUTCOME</v>
      </c>
      <c r="N331" s="7"/>
      <c r="O331" s="7">
        <v>6927</v>
      </c>
      <c r="P331" s="7">
        <v>37</v>
      </c>
      <c r="Q331" s="13">
        <f t="shared" si="11"/>
        <v>187.21621621621622</v>
      </c>
      <c r="R331" s="7"/>
      <c r="S331" s="7"/>
      <c r="T331" s="7"/>
      <c r="U331" s="7"/>
      <c r="V331" s="9" t="s">
        <v>715</v>
      </c>
    </row>
    <row r="332" spans="1:22" x14ac:dyDescent="0.25">
      <c r="A332" s="7">
        <v>1445</v>
      </c>
      <c r="B332" s="7">
        <v>2026</v>
      </c>
      <c r="C332" s="7" t="s">
        <v>261</v>
      </c>
      <c r="D332" s="7" t="s">
        <v>45</v>
      </c>
      <c r="E332" s="7" t="s">
        <v>716</v>
      </c>
      <c r="F332" s="7" t="s">
        <v>597</v>
      </c>
      <c r="G332" s="18">
        <v>46044</v>
      </c>
      <c r="H332" s="18">
        <v>46044</v>
      </c>
      <c r="I332" s="18">
        <v>46387</v>
      </c>
      <c r="J332" s="7" t="str">
        <f>VLOOKUP(D332,Droplist!A:C,3,0)</f>
        <v>Dennis Frankowski</v>
      </c>
      <c r="K332" s="7"/>
      <c r="L332" s="7" t="s">
        <v>601</v>
      </c>
      <c r="M332" s="7" t="str">
        <f t="shared" si="10"/>
        <v>PENDING OUTCOME</v>
      </c>
      <c r="N332" s="7"/>
      <c r="O332" s="7">
        <v>4340</v>
      </c>
      <c r="P332" s="7">
        <v>341</v>
      </c>
      <c r="Q332" s="13">
        <f t="shared" si="11"/>
        <v>12.727272727272727</v>
      </c>
      <c r="R332" s="7"/>
      <c r="S332" s="7"/>
      <c r="T332" s="7"/>
      <c r="U332" s="7"/>
      <c r="V332" s="9" t="s">
        <v>631</v>
      </c>
    </row>
    <row r="333" spans="1:22" x14ac:dyDescent="0.25">
      <c r="A333" s="7">
        <v>1446</v>
      </c>
      <c r="B333" s="7">
        <v>2026</v>
      </c>
      <c r="C333" s="7" t="s">
        <v>261</v>
      </c>
      <c r="D333" s="7" t="s">
        <v>45</v>
      </c>
      <c r="E333" s="7" t="s">
        <v>309</v>
      </c>
      <c r="F333" s="7" t="s">
        <v>597</v>
      </c>
      <c r="G333" s="18">
        <v>46051</v>
      </c>
      <c r="H333" s="18">
        <v>46054</v>
      </c>
      <c r="I333" s="18">
        <v>46387</v>
      </c>
      <c r="J333" s="7" t="str">
        <f>VLOOKUP(D333,Droplist!A:C,3,0)</f>
        <v>Dennis Frankowski</v>
      </c>
      <c r="K333" s="7" t="s">
        <v>717</v>
      </c>
      <c r="L333" s="7" t="s">
        <v>264</v>
      </c>
      <c r="M333" s="7" t="str">
        <f t="shared" si="10"/>
        <v>AWARDED</v>
      </c>
      <c r="N333" s="7"/>
      <c r="O333" s="7">
        <v>5886</v>
      </c>
      <c r="P333" s="7">
        <v>81</v>
      </c>
      <c r="Q333" s="13">
        <f t="shared" si="11"/>
        <v>72.666666666666671</v>
      </c>
      <c r="R333" s="7">
        <v>5886</v>
      </c>
      <c r="S333" s="7">
        <v>490.5</v>
      </c>
      <c r="T333" s="7"/>
      <c r="U333" s="7"/>
      <c r="V333" s="9"/>
    </row>
    <row r="334" spans="1:22" x14ac:dyDescent="0.25">
      <c r="A334" s="7">
        <v>1447</v>
      </c>
      <c r="B334" s="7">
        <v>2026</v>
      </c>
      <c r="C334" s="7" t="s">
        <v>261</v>
      </c>
      <c r="D334" s="7" t="s">
        <v>87</v>
      </c>
      <c r="E334" s="7" t="s">
        <v>527</v>
      </c>
      <c r="F334" s="7" t="s">
        <v>597</v>
      </c>
      <c r="G334" s="18">
        <v>46056</v>
      </c>
      <c r="H334" s="18">
        <v>46054</v>
      </c>
      <c r="I334" s="18">
        <v>46387</v>
      </c>
      <c r="J334" s="7" t="str">
        <f>VLOOKUP(D334,Droplist!A:C,3,0)</f>
        <v>Martin Schulz</v>
      </c>
      <c r="K334" s="7"/>
      <c r="L334" s="7" t="s">
        <v>267</v>
      </c>
      <c r="M334" s="7" t="str">
        <f t="shared" si="10"/>
        <v>NOT AWARDED</v>
      </c>
      <c r="N334" s="7"/>
      <c r="O334" s="7">
        <v>100</v>
      </c>
      <c r="P334" s="7">
        <v>239</v>
      </c>
      <c r="Q334" s="13">
        <f t="shared" si="11"/>
        <v>0.41841004184100417</v>
      </c>
      <c r="R334" s="7"/>
      <c r="S334" s="7"/>
      <c r="T334" s="7"/>
      <c r="U334" s="7"/>
      <c r="V334" s="9" t="s">
        <v>718</v>
      </c>
    </row>
    <row r="335" spans="1:22" x14ac:dyDescent="0.25">
      <c r="A335" s="7">
        <v>1448</v>
      </c>
      <c r="B335" s="7">
        <v>2026</v>
      </c>
      <c r="C335" s="7" t="s">
        <v>261</v>
      </c>
      <c r="D335" s="7" t="s">
        <v>75</v>
      </c>
      <c r="E335" s="7" t="s">
        <v>719</v>
      </c>
      <c r="F335" s="7" t="s">
        <v>617</v>
      </c>
      <c r="G335" s="18">
        <v>46100</v>
      </c>
      <c r="H335" s="18">
        <v>46113</v>
      </c>
      <c r="I335" s="18">
        <v>46203</v>
      </c>
      <c r="J335" s="7" t="str">
        <f>VLOOKUP(D335,Droplist!A:C,3,0)</f>
        <v>Martin Schulz</v>
      </c>
      <c r="K335" s="7" t="s">
        <v>720</v>
      </c>
      <c r="L335" s="7" t="s">
        <v>601</v>
      </c>
      <c r="M335" s="7" t="str">
        <f t="shared" si="10"/>
        <v>PENDING OUTCOME</v>
      </c>
      <c r="N335" s="7"/>
      <c r="O335" s="7">
        <v>64127</v>
      </c>
      <c r="P335" s="7">
        <v>483</v>
      </c>
      <c r="Q335" s="13">
        <f t="shared" si="11"/>
        <v>132.768115942029</v>
      </c>
      <c r="R335" s="7">
        <v>5700</v>
      </c>
      <c r="S335" s="7">
        <v>950</v>
      </c>
      <c r="T335" s="7"/>
      <c r="U335" s="7"/>
      <c r="V335" s="9" t="s">
        <v>721</v>
      </c>
    </row>
    <row r="336" spans="1:22" x14ac:dyDescent="0.25">
      <c r="A336" s="7">
        <v>1449</v>
      </c>
      <c r="B336" s="7">
        <v>2026</v>
      </c>
      <c r="C336" s="7" t="s">
        <v>261</v>
      </c>
      <c r="D336" s="7" t="s">
        <v>87</v>
      </c>
      <c r="E336" s="7" t="s">
        <v>582</v>
      </c>
      <c r="F336" s="7" t="s">
        <v>597</v>
      </c>
      <c r="G336" s="18">
        <v>46059</v>
      </c>
      <c r="H336" s="18">
        <v>46059</v>
      </c>
      <c r="I336" s="18">
        <v>46112</v>
      </c>
      <c r="J336" s="7" t="str">
        <f>VLOOKUP(D336,Droplist!A:C,3,0)</f>
        <v>Martin Schulz</v>
      </c>
      <c r="K336" s="7" t="s">
        <v>722</v>
      </c>
      <c r="L336" s="7" t="s">
        <v>264</v>
      </c>
      <c r="M336" s="7" t="str">
        <f t="shared" si="10"/>
        <v>AWARDED</v>
      </c>
      <c r="N336" s="7"/>
      <c r="O336" s="7">
        <v>1238</v>
      </c>
      <c r="P336" s="7">
        <v>51</v>
      </c>
      <c r="Q336" s="13">
        <f t="shared" si="11"/>
        <v>24.274509803921568</v>
      </c>
      <c r="R336" s="7">
        <v>1238</v>
      </c>
      <c r="S336" s="7">
        <v>100</v>
      </c>
      <c r="T336" s="7"/>
      <c r="U336" s="7"/>
      <c r="V336" s="9"/>
    </row>
    <row r="337" spans="1:22" x14ac:dyDescent="0.25">
      <c r="A337" s="7">
        <v>1450</v>
      </c>
      <c r="B337" s="7">
        <v>2026</v>
      </c>
      <c r="C337" s="7" t="s">
        <v>261</v>
      </c>
      <c r="D337" s="7" t="s">
        <v>45</v>
      </c>
      <c r="E337" s="7" t="s">
        <v>184</v>
      </c>
      <c r="F337" s="7" t="s">
        <v>597</v>
      </c>
      <c r="G337" s="18">
        <v>46063</v>
      </c>
      <c r="H337" s="18">
        <v>46068</v>
      </c>
      <c r="I337" s="18">
        <v>46387</v>
      </c>
      <c r="J337" s="7" t="str">
        <f>VLOOKUP(D337,Droplist!A:C,3,0)</f>
        <v>Dennis Frankowski</v>
      </c>
      <c r="K337" s="7"/>
      <c r="L337" s="7" t="s">
        <v>601</v>
      </c>
      <c r="M337" s="7" t="str">
        <f t="shared" si="10"/>
        <v>PENDING OUTCOME</v>
      </c>
      <c r="N337" s="7"/>
      <c r="O337" s="7">
        <v>3400</v>
      </c>
      <c r="P337" s="7">
        <v>243</v>
      </c>
      <c r="Q337" s="13">
        <f t="shared" si="11"/>
        <v>13.991769547325102</v>
      </c>
      <c r="R337" s="7"/>
      <c r="S337" s="7"/>
      <c r="T337" s="7"/>
      <c r="U337" s="7"/>
      <c r="V337" s="9"/>
    </row>
    <row r="338" spans="1:22" x14ac:dyDescent="0.25">
      <c r="A338" s="7">
        <v>1451</v>
      </c>
      <c r="B338" s="7">
        <v>2026</v>
      </c>
      <c r="C338" s="7" t="s">
        <v>261</v>
      </c>
      <c r="D338" s="7" t="s">
        <v>80</v>
      </c>
      <c r="E338" s="7" t="s">
        <v>237</v>
      </c>
      <c r="F338" s="7" t="s">
        <v>597</v>
      </c>
      <c r="G338" s="18">
        <v>46063</v>
      </c>
      <c r="H338" s="18">
        <v>46058</v>
      </c>
      <c r="I338" s="18">
        <v>46387</v>
      </c>
      <c r="J338" s="7" t="str">
        <f>VLOOKUP(D338,Droplist!A:C,3,0)</f>
        <v>Jens Pottschul</v>
      </c>
      <c r="K338" s="7"/>
      <c r="L338" s="7" t="s">
        <v>601</v>
      </c>
      <c r="M338" s="7" t="str">
        <f t="shared" si="10"/>
        <v>PENDING OUTCOME</v>
      </c>
      <c r="N338" s="7"/>
      <c r="O338" s="7">
        <v>3022</v>
      </c>
      <c r="P338" s="7">
        <v>187</v>
      </c>
      <c r="Q338" s="13">
        <f t="shared" si="11"/>
        <v>16.160427807486631</v>
      </c>
      <c r="R338" s="7"/>
      <c r="S338" s="7"/>
      <c r="T338" s="7"/>
      <c r="U338" s="7"/>
      <c r="V338" s="9" t="s">
        <v>631</v>
      </c>
    </row>
    <row r="339" spans="1:22" x14ac:dyDescent="0.25">
      <c r="A339" s="7">
        <v>1452</v>
      </c>
      <c r="B339" s="7">
        <v>2026</v>
      </c>
      <c r="C339" s="7" t="s">
        <v>261</v>
      </c>
      <c r="D339" s="7" t="s">
        <v>48</v>
      </c>
      <c r="E339" s="7" t="s">
        <v>426</v>
      </c>
      <c r="F339" s="7" t="s">
        <v>597</v>
      </c>
      <c r="G339" s="18">
        <v>46065</v>
      </c>
      <c r="H339" s="18">
        <v>46068</v>
      </c>
      <c r="I339" s="18">
        <v>46173</v>
      </c>
      <c r="J339" s="7" t="str">
        <f>VLOOKUP(D339,Droplist!A:C,3,0)</f>
        <v>Jakob Bluhme</v>
      </c>
      <c r="K339" s="7" t="s">
        <v>426</v>
      </c>
      <c r="L339" s="7" t="s">
        <v>264</v>
      </c>
      <c r="M339" s="7" t="str">
        <f t="shared" si="10"/>
        <v>AWARDED</v>
      </c>
      <c r="N339" s="7"/>
      <c r="O339" s="7">
        <v>5685</v>
      </c>
      <c r="P339" s="7">
        <v>98</v>
      </c>
      <c r="Q339" s="13">
        <f t="shared" si="11"/>
        <v>58.010204081632651</v>
      </c>
      <c r="R339" s="7">
        <v>1644</v>
      </c>
      <c r="S339" s="7">
        <v>130</v>
      </c>
      <c r="T339" s="7"/>
      <c r="U339" s="7"/>
      <c r="V339" s="9"/>
    </row>
    <row r="340" spans="1:22" x14ac:dyDescent="0.25">
      <c r="A340" s="7">
        <v>1453</v>
      </c>
      <c r="B340" s="7">
        <v>2026</v>
      </c>
      <c r="C340" s="7" t="s">
        <v>261</v>
      </c>
      <c r="D340" s="7" t="s">
        <v>80</v>
      </c>
      <c r="E340" s="7" t="s">
        <v>217</v>
      </c>
      <c r="F340" s="7" t="s">
        <v>597</v>
      </c>
      <c r="G340" s="18">
        <v>46086</v>
      </c>
      <c r="H340" s="18">
        <v>46082</v>
      </c>
      <c r="I340" s="18">
        <v>46326</v>
      </c>
      <c r="J340" s="7" t="str">
        <f>VLOOKUP(D340,Droplist!A:C,3,0)</f>
        <v>Jens Pottschul</v>
      </c>
      <c r="K340" s="7"/>
      <c r="L340" s="7" t="s">
        <v>601</v>
      </c>
      <c r="M340" s="7" t="str">
        <f t="shared" si="10"/>
        <v>PENDING OUTCOME</v>
      </c>
      <c r="N340" s="7"/>
      <c r="O340" s="7">
        <v>4240</v>
      </c>
      <c r="P340" s="7">
        <v>964</v>
      </c>
      <c r="Q340" s="13">
        <f t="shared" si="11"/>
        <v>4.398340248962656</v>
      </c>
      <c r="R340" s="7"/>
      <c r="S340" s="7"/>
      <c r="T340" s="7"/>
      <c r="U340" s="7"/>
      <c r="V340" s="9"/>
    </row>
    <row r="341" spans="1:22" x14ac:dyDescent="0.25">
      <c r="A341" s="7">
        <v>1454</v>
      </c>
      <c r="B341" s="7">
        <v>2026</v>
      </c>
      <c r="C341" s="7" t="s">
        <v>261</v>
      </c>
      <c r="D341" s="7" t="s">
        <v>80</v>
      </c>
      <c r="E341" s="7" t="s">
        <v>175</v>
      </c>
      <c r="F341" s="7" t="s">
        <v>597</v>
      </c>
      <c r="G341" s="18">
        <v>46065</v>
      </c>
      <c r="H341" s="18">
        <v>46143</v>
      </c>
      <c r="I341" s="18">
        <v>46387</v>
      </c>
      <c r="J341" s="7" t="str">
        <f>VLOOKUP(D341,Droplist!A:C,3,0)</f>
        <v>Jens Pottschul</v>
      </c>
      <c r="K341" s="7"/>
      <c r="L341" s="7" t="s">
        <v>601</v>
      </c>
      <c r="M341" s="7" t="str">
        <f t="shared" si="10"/>
        <v>PENDING OUTCOME</v>
      </c>
      <c r="N341" s="7"/>
      <c r="O341" s="7">
        <v>55123</v>
      </c>
      <c r="P341" s="7">
        <v>359</v>
      </c>
      <c r="Q341" s="13">
        <f t="shared" si="11"/>
        <v>153.5459610027855</v>
      </c>
      <c r="R341" s="7"/>
      <c r="S341" s="7"/>
      <c r="T341" s="7"/>
      <c r="U341" s="7"/>
      <c r="V341" s="9"/>
    </row>
    <row r="342" spans="1:22" x14ac:dyDescent="0.25">
      <c r="A342" s="7">
        <v>1455</v>
      </c>
      <c r="B342" s="7">
        <v>2026</v>
      </c>
      <c r="C342" s="7" t="s">
        <v>261</v>
      </c>
      <c r="D342" s="7" t="s">
        <v>99</v>
      </c>
      <c r="E342" s="7" t="s">
        <v>723</v>
      </c>
      <c r="F342" s="7" t="s">
        <v>597</v>
      </c>
      <c r="G342" s="18">
        <v>46066</v>
      </c>
      <c r="H342" s="18">
        <v>46113</v>
      </c>
      <c r="I342" s="18">
        <v>46112</v>
      </c>
      <c r="J342" s="7" t="str">
        <f>VLOOKUP(D342,Droplist!A:C,3,0)</f>
        <v>Kevin Taylor</v>
      </c>
      <c r="K342" s="7"/>
      <c r="L342" s="7" t="s">
        <v>601</v>
      </c>
      <c r="M342" s="7" t="str">
        <f t="shared" si="10"/>
        <v>PENDING OUTCOME</v>
      </c>
      <c r="N342" s="7"/>
      <c r="O342" s="7">
        <v>2377</v>
      </c>
      <c r="P342" s="7">
        <v>229</v>
      </c>
      <c r="Q342" s="13">
        <f t="shared" si="11"/>
        <v>10.379912663755459</v>
      </c>
      <c r="R342" s="7"/>
      <c r="S342" s="7"/>
      <c r="T342" s="7"/>
      <c r="U342" s="7"/>
      <c r="V342" s="9"/>
    </row>
    <row r="343" spans="1:22" x14ac:dyDescent="0.25">
      <c r="A343" s="7">
        <v>1456</v>
      </c>
      <c r="B343" s="7">
        <v>2026</v>
      </c>
      <c r="C343" s="7" t="s">
        <v>261</v>
      </c>
      <c r="D343" s="7" t="s">
        <v>87</v>
      </c>
      <c r="E343" s="7" t="s">
        <v>594</v>
      </c>
      <c r="F343" s="7" t="s">
        <v>597</v>
      </c>
      <c r="G343" s="18">
        <v>46069</v>
      </c>
      <c r="H343" s="18">
        <v>46082</v>
      </c>
      <c r="I343" s="18">
        <v>46112</v>
      </c>
      <c r="J343" s="7" t="str">
        <f>VLOOKUP(D343,Droplist!A:C,3,0)</f>
        <v>Martin Schulz</v>
      </c>
      <c r="K343" s="7" t="s">
        <v>594</v>
      </c>
      <c r="L343" s="7" t="s">
        <v>264</v>
      </c>
      <c r="M343" s="7" t="str">
        <f t="shared" si="10"/>
        <v>AWARDED</v>
      </c>
      <c r="N343" s="7"/>
      <c r="O343" s="7">
        <v>4628</v>
      </c>
      <c r="P343" s="7">
        <v>79</v>
      </c>
      <c r="Q343" s="13">
        <f t="shared" si="11"/>
        <v>58.582278481012658</v>
      </c>
      <c r="R343" s="7"/>
      <c r="S343" s="7"/>
      <c r="T343" s="7"/>
      <c r="U343" s="7"/>
      <c r="V343" s="9"/>
    </row>
    <row r="344" spans="1:22" x14ac:dyDescent="0.25">
      <c r="A344" s="7">
        <v>1457</v>
      </c>
      <c r="B344" s="7">
        <v>2026</v>
      </c>
      <c r="C344" s="7" t="s">
        <v>261</v>
      </c>
      <c r="D344" s="7" t="s">
        <v>87</v>
      </c>
      <c r="E344" s="7" t="s">
        <v>178</v>
      </c>
      <c r="F344" s="7" t="s">
        <v>597</v>
      </c>
      <c r="G344" s="18">
        <v>46066</v>
      </c>
      <c r="H344" s="18">
        <v>46066</v>
      </c>
      <c r="I344" s="18">
        <v>46203</v>
      </c>
      <c r="J344" s="7" t="str">
        <f>VLOOKUP(D344,Droplist!A:C,3,0)</f>
        <v>Martin Schulz</v>
      </c>
      <c r="K344" s="7"/>
      <c r="L344" s="7" t="s">
        <v>601</v>
      </c>
      <c r="M344" s="7" t="str">
        <f t="shared" si="10"/>
        <v>PENDING OUTCOME</v>
      </c>
      <c r="N344" s="7"/>
      <c r="O344" s="7">
        <v>1450</v>
      </c>
      <c r="P344" s="7">
        <v>180</v>
      </c>
      <c r="Q344" s="13">
        <f t="shared" si="11"/>
        <v>8.0555555555555554</v>
      </c>
      <c r="R344" s="7"/>
      <c r="S344" s="7"/>
      <c r="T344" s="7"/>
      <c r="U344" s="7"/>
      <c r="V344" s="9" t="s">
        <v>724</v>
      </c>
    </row>
    <row r="345" spans="1:22" ht="34.5" x14ac:dyDescent="0.25">
      <c r="A345" s="7">
        <v>1458</v>
      </c>
      <c r="B345" s="7">
        <v>2026</v>
      </c>
      <c r="C345" s="7" t="s">
        <v>261</v>
      </c>
      <c r="D345" s="7" t="s">
        <v>81</v>
      </c>
      <c r="E345" s="7" t="s">
        <v>590</v>
      </c>
      <c r="F345" s="7" t="s">
        <v>617</v>
      </c>
      <c r="G345" s="18">
        <v>46072</v>
      </c>
      <c r="H345" s="18">
        <v>46204</v>
      </c>
      <c r="I345" s="18">
        <v>46387</v>
      </c>
      <c r="J345" s="7" t="str">
        <f>VLOOKUP(D345,Droplist!A:C,3,0)</f>
        <v>Jens Pottschul</v>
      </c>
      <c r="K345" s="7" t="s">
        <v>591</v>
      </c>
      <c r="L345" s="7" t="s">
        <v>264</v>
      </c>
      <c r="M345" s="7" t="str">
        <f t="shared" si="10"/>
        <v>AWARDED</v>
      </c>
      <c r="N345" s="7"/>
      <c r="O345" s="7">
        <v>1569</v>
      </c>
      <c r="P345" s="7">
        <v>37</v>
      </c>
      <c r="Q345" s="13">
        <f t="shared" si="11"/>
        <v>42.405405405405403</v>
      </c>
      <c r="R345" s="7">
        <v>243</v>
      </c>
      <c r="S345" s="7" t="s">
        <v>265</v>
      </c>
      <c r="T345" s="7"/>
      <c r="U345" s="7">
        <v>26.420999999999999</v>
      </c>
      <c r="V345" s="9" t="s">
        <v>592</v>
      </c>
    </row>
    <row r="346" spans="1:22" x14ac:dyDescent="0.25">
      <c r="A346" s="7">
        <v>1459</v>
      </c>
      <c r="B346" s="7">
        <v>2026</v>
      </c>
      <c r="C346" s="7" t="s">
        <v>261</v>
      </c>
      <c r="D346" s="7" t="s">
        <v>48</v>
      </c>
      <c r="E346" s="7" t="s">
        <v>215</v>
      </c>
      <c r="F346" s="7" t="s">
        <v>597</v>
      </c>
      <c r="G346" s="18">
        <v>46085</v>
      </c>
      <c r="H346" s="18">
        <v>46082</v>
      </c>
      <c r="I346" s="18">
        <v>46173</v>
      </c>
      <c r="J346" s="7" t="str">
        <f>VLOOKUP(D346,Droplist!A:C,3,0)</f>
        <v>Jakob Bluhme</v>
      </c>
      <c r="K346" s="7"/>
      <c r="L346" s="7" t="s">
        <v>601</v>
      </c>
      <c r="M346" s="7" t="str">
        <f t="shared" si="10"/>
        <v>PENDING OUTCOME</v>
      </c>
      <c r="N346" s="7"/>
      <c r="O346" s="7">
        <v>44361</v>
      </c>
      <c r="P346" s="7">
        <v>1472</v>
      </c>
      <c r="Q346" s="13">
        <f t="shared" si="11"/>
        <v>30.136548913043477</v>
      </c>
      <c r="R346" s="7"/>
      <c r="S346" s="7"/>
      <c r="T346" s="7"/>
      <c r="U346" s="7"/>
      <c r="V346" s="9"/>
    </row>
    <row r="347" spans="1:22" x14ac:dyDescent="0.25">
      <c r="A347" s="7">
        <v>1460</v>
      </c>
      <c r="B347" s="7">
        <v>2026</v>
      </c>
      <c r="C347" s="7" t="s">
        <v>261</v>
      </c>
      <c r="D347" s="7" t="s">
        <v>102</v>
      </c>
      <c r="E347" s="7" t="s">
        <v>337</v>
      </c>
      <c r="F347" s="7" t="s">
        <v>597</v>
      </c>
      <c r="G347" s="18">
        <v>46073</v>
      </c>
      <c r="H347" s="18">
        <v>46082</v>
      </c>
      <c r="I347" s="18">
        <v>46446</v>
      </c>
      <c r="J347" s="7" t="str">
        <f>VLOOKUP(D347,Droplist!A:C,3,0)</f>
        <v>Jens Pottschul</v>
      </c>
      <c r="K347" s="7"/>
      <c r="L347" s="7" t="s">
        <v>601</v>
      </c>
      <c r="M347" s="7" t="str">
        <f t="shared" si="10"/>
        <v>PENDING OUTCOME</v>
      </c>
      <c r="N347" s="7"/>
      <c r="O347" s="7">
        <v>3467.45</v>
      </c>
      <c r="P347" s="7">
        <v>273</v>
      </c>
      <c r="Q347" s="13">
        <f t="shared" si="11"/>
        <v>12.701282051282051</v>
      </c>
      <c r="R347" s="7"/>
      <c r="S347" s="7"/>
      <c r="T347" s="7"/>
      <c r="U347" s="7"/>
      <c r="V347" s="9"/>
    </row>
    <row r="348" spans="1:22" x14ac:dyDescent="0.25">
      <c r="A348" s="7">
        <v>1461</v>
      </c>
      <c r="B348" s="7">
        <v>2026</v>
      </c>
      <c r="C348" s="7" t="s">
        <v>261</v>
      </c>
      <c r="D348" s="7" t="s">
        <v>725</v>
      </c>
      <c r="E348" s="7" t="s">
        <v>389</v>
      </c>
      <c r="F348" s="7" t="s">
        <v>597</v>
      </c>
      <c r="G348" s="18">
        <v>46076</v>
      </c>
      <c r="H348" s="18">
        <v>46143</v>
      </c>
      <c r="I348" s="18">
        <v>46173</v>
      </c>
      <c r="J348" s="7" t="str">
        <f>VLOOKUP(D348,Droplist!A:C,3,0)</f>
        <v>Jens Pottschul</v>
      </c>
      <c r="K348" s="7"/>
      <c r="L348" s="7" t="s">
        <v>601</v>
      </c>
      <c r="M348" s="7" t="str">
        <f t="shared" si="10"/>
        <v>PENDING OUTCOME</v>
      </c>
      <c r="N348" s="7"/>
      <c r="O348" s="7">
        <v>3082</v>
      </c>
      <c r="P348" s="7">
        <v>44</v>
      </c>
      <c r="Q348" s="13">
        <f t="shared" si="11"/>
        <v>70.045454545454547</v>
      </c>
      <c r="R348" s="7"/>
      <c r="S348" s="7"/>
      <c r="T348" s="7"/>
      <c r="U348" s="7"/>
      <c r="V348" s="9"/>
    </row>
    <row r="349" spans="1:22" x14ac:dyDescent="0.25">
      <c r="A349" s="7">
        <v>1462</v>
      </c>
      <c r="B349" s="7">
        <v>2026</v>
      </c>
      <c r="C349" s="7" t="s">
        <v>261</v>
      </c>
      <c r="D349" s="7" t="s">
        <v>234</v>
      </c>
      <c r="E349" s="7" t="s">
        <v>527</v>
      </c>
      <c r="F349" s="7" t="s">
        <v>597</v>
      </c>
      <c r="G349" s="18">
        <v>46049</v>
      </c>
      <c r="H349" s="18">
        <v>46174</v>
      </c>
      <c r="I349" s="18">
        <v>46295</v>
      </c>
      <c r="J349" s="7" t="str">
        <f>VLOOKUP(D349,Droplist!A:C,3,0)</f>
        <v>Chris Crowder</v>
      </c>
      <c r="K349" s="7"/>
      <c r="L349" s="7" t="s">
        <v>601</v>
      </c>
      <c r="M349" s="7" t="str">
        <f t="shared" si="10"/>
        <v>PENDING OUTCOME</v>
      </c>
      <c r="N349" s="7"/>
      <c r="O349" s="7">
        <v>73715</v>
      </c>
      <c r="P349" s="7">
        <v>1188</v>
      </c>
      <c r="Q349" s="13">
        <f t="shared" si="11"/>
        <v>62.049663299663301</v>
      </c>
      <c r="R349" s="7"/>
      <c r="S349" s="7"/>
      <c r="T349" s="7"/>
      <c r="U349" s="7"/>
      <c r="V349" s="9"/>
    </row>
    <row r="350" spans="1:22" x14ac:dyDescent="0.25">
      <c r="A350" s="7">
        <v>1463</v>
      </c>
      <c r="B350" s="7">
        <v>2026</v>
      </c>
      <c r="C350" s="7" t="s">
        <v>261</v>
      </c>
      <c r="D350" s="7" t="s">
        <v>410</v>
      </c>
      <c r="E350" s="7" t="s">
        <v>396</v>
      </c>
      <c r="F350" s="7" t="s">
        <v>617</v>
      </c>
      <c r="G350" s="18">
        <v>46065</v>
      </c>
      <c r="H350" s="18">
        <v>46082</v>
      </c>
      <c r="I350" s="18">
        <v>46387</v>
      </c>
      <c r="J350" s="7" t="str">
        <f>VLOOKUP(D350,Droplist!A:C,3,0)</f>
        <v>Sylvia Lathouwers</v>
      </c>
      <c r="K350" s="7"/>
      <c r="L350" s="7" t="s">
        <v>601</v>
      </c>
      <c r="M350" s="7" t="str">
        <f t="shared" si="10"/>
        <v>PENDING OUTCOME</v>
      </c>
      <c r="N350" s="7"/>
      <c r="O350" s="7">
        <v>1400</v>
      </c>
      <c r="P350" s="7">
        <v>112</v>
      </c>
      <c r="Q350" s="13">
        <f t="shared" si="11"/>
        <v>12.5</v>
      </c>
      <c r="R350" s="7"/>
      <c r="S350" s="7"/>
      <c r="T350" s="7"/>
      <c r="U350" s="7"/>
      <c r="V350" s="9"/>
    </row>
    <row r="351" spans="1:22" ht="23.25" x14ac:dyDescent="0.25">
      <c r="A351" s="7">
        <v>1464</v>
      </c>
      <c r="B351" s="7">
        <v>2026</v>
      </c>
      <c r="C351" s="7" t="s">
        <v>261</v>
      </c>
      <c r="D351" s="7" t="s">
        <v>75</v>
      </c>
      <c r="E351" s="7" t="s">
        <v>639</v>
      </c>
      <c r="F351" s="7" t="s">
        <v>617</v>
      </c>
      <c r="G351" s="18">
        <v>46057</v>
      </c>
      <c r="H351" s="18">
        <v>46057</v>
      </c>
      <c r="I351" s="18">
        <v>46112</v>
      </c>
      <c r="J351" s="7" t="str">
        <f>VLOOKUP(D351,Droplist!A:C,3,0)</f>
        <v>Martin Schulz</v>
      </c>
      <c r="K351" s="7" t="s">
        <v>639</v>
      </c>
      <c r="L351" s="7" t="s">
        <v>264</v>
      </c>
      <c r="M351" s="7" t="str">
        <f t="shared" si="10"/>
        <v>AWARDED</v>
      </c>
      <c r="N351" s="7"/>
      <c r="O351" s="7">
        <v>2557</v>
      </c>
      <c r="P351" s="7">
        <v>35</v>
      </c>
      <c r="Q351" s="13">
        <f t="shared" si="11"/>
        <v>73.057142857142864</v>
      </c>
      <c r="R351" s="7" t="s">
        <v>265</v>
      </c>
      <c r="S351" s="7" t="s">
        <v>265</v>
      </c>
      <c r="T351" s="7"/>
      <c r="U351" s="7"/>
      <c r="V351" s="9" t="s">
        <v>726</v>
      </c>
    </row>
    <row r="352" spans="1:22" ht="23.25" x14ac:dyDescent="0.25">
      <c r="A352" s="7">
        <v>1465</v>
      </c>
      <c r="B352" s="7">
        <v>2026</v>
      </c>
      <c r="C352" s="7" t="s">
        <v>261</v>
      </c>
      <c r="D352" s="7" t="s">
        <v>80</v>
      </c>
      <c r="E352" s="7" t="s">
        <v>188</v>
      </c>
      <c r="F352" s="7" t="s">
        <v>597</v>
      </c>
      <c r="G352" s="18">
        <v>46079</v>
      </c>
      <c r="H352" s="18">
        <v>46174</v>
      </c>
      <c r="I352" s="18">
        <v>46387</v>
      </c>
      <c r="J352" s="7" t="str">
        <f>VLOOKUP(D352,Droplist!A:C,3,0)</f>
        <v>Jens Pottschul</v>
      </c>
      <c r="K352" s="7"/>
      <c r="L352" s="7" t="s">
        <v>601</v>
      </c>
      <c r="M352" s="7" t="str">
        <f t="shared" si="10"/>
        <v>PENDING OUTCOME</v>
      </c>
      <c r="N352" s="7"/>
      <c r="O352" s="7">
        <v>26794</v>
      </c>
      <c r="P352" s="7">
        <v>246</v>
      </c>
      <c r="Q352" s="13">
        <f t="shared" si="11"/>
        <v>108.91869918699187</v>
      </c>
      <c r="R352" s="7"/>
      <c r="S352" s="7"/>
      <c r="T352" s="7"/>
      <c r="U352" s="7"/>
      <c r="V352" s="9" t="s">
        <v>727</v>
      </c>
    </row>
    <row r="353" spans="1:22" x14ac:dyDescent="0.25">
      <c r="A353" s="7">
        <v>1466</v>
      </c>
      <c r="B353" s="7">
        <v>2026</v>
      </c>
      <c r="C353" s="7" t="s">
        <v>261</v>
      </c>
      <c r="D353" s="7" t="s">
        <v>45</v>
      </c>
      <c r="E353" s="7" t="s">
        <v>193</v>
      </c>
      <c r="F353" s="7" t="s">
        <v>597</v>
      </c>
      <c r="G353" s="18">
        <v>46078</v>
      </c>
      <c r="H353" s="18">
        <v>46082</v>
      </c>
      <c r="I353" s="18">
        <v>46203</v>
      </c>
      <c r="J353" s="7" t="str">
        <f>VLOOKUP(D353,Droplist!A:C,3,0)</f>
        <v>Dennis Frankowski</v>
      </c>
      <c r="K353" s="7"/>
      <c r="L353" s="7" t="s">
        <v>601</v>
      </c>
      <c r="M353" s="7" t="str">
        <f t="shared" si="10"/>
        <v>PENDING OUTCOME</v>
      </c>
      <c r="N353" s="7"/>
      <c r="O353" s="7">
        <v>2308</v>
      </c>
      <c r="P353" s="7">
        <v>47</v>
      </c>
      <c r="Q353" s="13">
        <f t="shared" si="11"/>
        <v>49.106382978723403</v>
      </c>
      <c r="R353" s="7"/>
      <c r="S353" s="7"/>
      <c r="T353" s="7"/>
      <c r="U353" s="7"/>
      <c r="V353" s="9"/>
    </row>
    <row r="354" spans="1:22" x14ac:dyDescent="0.25">
      <c r="A354" s="7">
        <v>1467</v>
      </c>
      <c r="B354" s="7">
        <v>2026</v>
      </c>
      <c r="C354" s="7" t="s">
        <v>261</v>
      </c>
      <c r="D354" s="7" t="s">
        <v>80</v>
      </c>
      <c r="E354" s="7" t="s">
        <v>202</v>
      </c>
      <c r="F354" s="7" t="s">
        <v>597</v>
      </c>
      <c r="G354" s="18">
        <v>46084</v>
      </c>
      <c r="H354" s="18">
        <v>46174</v>
      </c>
      <c r="I354" s="18">
        <v>46387</v>
      </c>
      <c r="J354" s="7" t="str">
        <f>VLOOKUP(D354,Droplist!A:C,3,0)</f>
        <v>Jens Pottschul</v>
      </c>
      <c r="K354" s="7"/>
      <c r="L354" s="7" t="s">
        <v>601</v>
      </c>
      <c r="M354" s="7" t="str">
        <f t="shared" si="10"/>
        <v>PENDING OUTCOME</v>
      </c>
      <c r="N354" s="7"/>
      <c r="O354" s="7">
        <v>8050</v>
      </c>
      <c r="P354" s="7">
        <v>333</v>
      </c>
      <c r="Q354" s="13">
        <f t="shared" si="11"/>
        <v>24.174174174174173</v>
      </c>
      <c r="R354" s="7"/>
      <c r="S354" s="7"/>
      <c r="T354" s="7"/>
      <c r="U354" s="7"/>
      <c r="V354" s="9"/>
    </row>
    <row r="355" spans="1:22" x14ac:dyDescent="0.25">
      <c r="A355" s="7">
        <v>1468</v>
      </c>
      <c r="B355" s="7">
        <v>2026</v>
      </c>
      <c r="C355" s="7" t="s">
        <v>261</v>
      </c>
      <c r="D355" s="7" t="s">
        <v>87</v>
      </c>
      <c r="E355" s="7" t="s">
        <v>204</v>
      </c>
      <c r="F355" s="7" t="s">
        <v>597</v>
      </c>
      <c r="G355" s="18">
        <v>46084</v>
      </c>
      <c r="H355" s="18">
        <v>46113</v>
      </c>
      <c r="I355" s="18">
        <v>46387</v>
      </c>
      <c r="J355" s="7" t="str">
        <f>VLOOKUP(D355,Droplist!A:C,3,0)</f>
        <v>Martin Schulz</v>
      </c>
      <c r="K355" s="7"/>
      <c r="L355" s="7" t="s">
        <v>601</v>
      </c>
      <c r="M355" s="7" t="str">
        <f t="shared" si="10"/>
        <v>PENDING OUTCOME</v>
      </c>
      <c r="N355" s="7"/>
      <c r="O355" s="7">
        <v>2597</v>
      </c>
      <c r="P355" s="7">
        <v>82</v>
      </c>
      <c r="Q355" s="13">
        <f t="shared" si="11"/>
        <v>31.670731707317074</v>
      </c>
      <c r="R355" s="7"/>
      <c r="S355" s="7"/>
      <c r="T355" s="7"/>
      <c r="U355" s="7"/>
      <c r="V355" s="9"/>
    </row>
    <row r="356" spans="1:22" x14ac:dyDescent="0.25">
      <c r="A356" s="7">
        <v>1469</v>
      </c>
      <c r="B356" s="7">
        <v>2026</v>
      </c>
      <c r="C356" s="7" t="s">
        <v>261</v>
      </c>
      <c r="D356" s="7" t="s">
        <v>207</v>
      </c>
      <c r="E356" s="7" t="s">
        <v>208</v>
      </c>
      <c r="F356" s="7" t="s">
        <v>597</v>
      </c>
      <c r="G356" s="18">
        <v>46099</v>
      </c>
      <c r="H356" s="18">
        <v>46113</v>
      </c>
      <c r="I356" s="18">
        <v>46387</v>
      </c>
      <c r="J356" s="7" t="str">
        <f>VLOOKUP(D356,Droplist!A:C,3,0)</f>
        <v>Jens Pottschul</v>
      </c>
      <c r="K356" s="7"/>
      <c r="L356" s="7" t="s">
        <v>601</v>
      </c>
      <c r="M356" s="7" t="str">
        <f t="shared" si="10"/>
        <v>PENDING OUTCOME</v>
      </c>
      <c r="N356" s="7"/>
      <c r="O356" s="7">
        <v>7646</v>
      </c>
      <c r="P356" s="7">
        <v>189</v>
      </c>
      <c r="Q356" s="13">
        <f t="shared" si="11"/>
        <v>40.455026455026456</v>
      </c>
      <c r="R356" s="7"/>
      <c r="S356" s="7"/>
      <c r="T356" s="7"/>
      <c r="U356" s="7"/>
      <c r="V356" s="9"/>
    </row>
    <row r="357" spans="1:22" x14ac:dyDescent="0.25">
      <c r="A357" s="7">
        <v>1470</v>
      </c>
      <c r="B357" s="7">
        <v>2026</v>
      </c>
      <c r="C357" s="7" t="s">
        <v>261</v>
      </c>
      <c r="D357" s="7" t="s">
        <v>75</v>
      </c>
      <c r="E357" s="7" t="s">
        <v>211</v>
      </c>
      <c r="F357" s="7" t="s">
        <v>597</v>
      </c>
      <c r="G357" s="18">
        <v>46085</v>
      </c>
      <c r="H357" s="18">
        <v>46082</v>
      </c>
      <c r="I357" s="18">
        <v>46203</v>
      </c>
      <c r="J357" s="7" t="str">
        <f>VLOOKUP(D357,Droplist!A:C,3,0)</f>
        <v>Martin Schulz</v>
      </c>
      <c r="K357" s="7"/>
      <c r="L357" s="7" t="s">
        <v>601</v>
      </c>
      <c r="M357" s="7" t="str">
        <f t="shared" si="10"/>
        <v>PENDING OUTCOME</v>
      </c>
      <c r="N357" s="7"/>
      <c r="O357" s="7">
        <v>5570</v>
      </c>
      <c r="P357" s="7">
        <v>379</v>
      </c>
      <c r="Q357" s="13">
        <f t="shared" si="11"/>
        <v>14.696569920844327</v>
      </c>
      <c r="R357" s="7"/>
      <c r="S357" s="7"/>
      <c r="T357" s="7"/>
      <c r="U357" s="7"/>
      <c r="V357" s="9"/>
    </row>
    <row r="358" spans="1:22" x14ac:dyDescent="0.25">
      <c r="A358" s="7">
        <v>1471</v>
      </c>
      <c r="B358" s="7">
        <v>2026</v>
      </c>
      <c r="C358" s="7" t="s">
        <v>261</v>
      </c>
      <c r="D358" s="7" t="s">
        <v>45</v>
      </c>
      <c r="E358" s="7" t="s">
        <v>221</v>
      </c>
      <c r="F358" s="7" t="s">
        <v>597</v>
      </c>
      <c r="G358" s="18">
        <v>46090</v>
      </c>
      <c r="H358" s="18">
        <v>46113</v>
      </c>
      <c r="I358" s="18">
        <v>46387</v>
      </c>
      <c r="J358" s="7" t="str">
        <f>VLOOKUP(D358,Droplist!A:C,3,0)</f>
        <v>Dennis Frankowski</v>
      </c>
      <c r="K358" s="7"/>
      <c r="L358" s="7" t="s">
        <v>601</v>
      </c>
      <c r="M358" s="7" t="str">
        <f t="shared" si="10"/>
        <v>PENDING OUTCOME</v>
      </c>
      <c r="N358" s="7"/>
      <c r="O358" s="7">
        <v>1922</v>
      </c>
      <c r="P358" s="7">
        <v>55</v>
      </c>
      <c r="Q358" s="13">
        <f t="shared" si="11"/>
        <v>34.945454545454545</v>
      </c>
      <c r="R358" s="7"/>
      <c r="S358" s="7"/>
      <c r="T358" s="7"/>
      <c r="U358" s="7"/>
      <c r="V358" s="9"/>
    </row>
    <row r="359" spans="1:22" x14ac:dyDescent="0.25">
      <c r="A359" s="7">
        <v>1472</v>
      </c>
      <c r="B359" s="7">
        <v>2026</v>
      </c>
      <c r="C359" s="7" t="s">
        <v>261</v>
      </c>
      <c r="D359" s="7" t="s">
        <v>97</v>
      </c>
      <c r="E359" s="7" t="s">
        <v>237</v>
      </c>
      <c r="F359" s="7" t="s">
        <v>597</v>
      </c>
      <c r="G359" s="18">
        <v>46093</v>
      </c>
      <c r="H359" s="18">
        <v>46094</v>
      </c>
      <c r="I359" s="18">
        <v>46203</v>
      </c>
      <c r="J359" s="7" t="str">
        <f>VLOOKUP(D359,Droplist!A:C,3,0)</f>
        <v>Jakob Bluhme / Tom Hine</v>
      </c>
      <c r="K359" s="7"/>
      <c r="L359" s="7" t="s">
        <v>601</v>
      </c>
      <c r="M359" s="7" t="str">
        <f t="shared" si="10"/>
        <v>PENDING OUTCOME</v>
      </c>
      <c r="N359" s="7"/>
      <c r="O359" s="7">
        <v>6801</v>
      </c>
      <c r="P359" s="7">
        <v>471</v>
      </c>
      <c r="Q359" s="13">
        <f t="shared" si="11"/>
        <v>14.439490445859873</v>
      </c>
      <c r="R359" s="7"/>
      <c r="S359" s="7"/>
      <c r="T359" s="7"/>
      <c r="U359" s="7"/>
      <c r="V359" s="9"/>
    </row>
    <row r="360" spans="1:22" ht="23.25" x14ac:dyDescent="0.25">
      <c r="A360" s="7">
        <v>1473</v>
      </c>
      <c r="B360" s="7">
        <v>2026</v>
      </c>
      <c r="C360" s="7" t="s">
        <v>261</v>
      </c>
      <c r="D360" s="7" t="s">
        <v>97</v>
      </c>
      <c r="E360" s="7" t="s">
        <v>180</v>
      </c>
      <c r="F360" s="7" t="s">
        <v>597</v>
      </c>
      <c r="G360" s="18">
        <v>46076</v>
      </c>
      <c r="H360" s="18">
        <v>46076</v>
      </c>
      <c r="I360" s="18">
        <v>46387</v>
      </c>
      <c r="J360" s="7" t="str">
        <f>VLOOKUP(D360,Droplist!A:C,3,0)</f>
        <v>Jakob Bluhme / Tom Hine</v>
      </c>
      <c r="K360" s="7" t="s">
        <v>298</v>
      </c>
      <c r="L360" s="7" t="s">
        <v>601</v>
      </c>
      <c r="M360" s="7" t="str">
        <f t="shared" si="10"/>
        <v>PENDING OUTCOME</v>
      </c>
      <c r="N360" s="7"/>
      <c r="O360" s="7">
        <v>2588.058</v>
      </c>
      <c r="P360" s="7">
        <v>693</v>
      </c>
      <c r="Q360" s="13">
        <f t="shared" si="11"/>
        <v>3.7345714285714284</v>
      </c>
      <c r="R360" s="7" t="s">
        <v>335</v>
      </c>
      <c r="S360" s="7"/>
      <c r="T360" s="7"/>
      <c r="U360" s="7"/>
      <c r="V360" s="9" t="s">
        <v>727</v>
      </c>
    </row>
    <row r="361" spans="1:22" ht="23.25" x14ac:dyDescent="0.25">
      <c r="A361" s="7">
        <v>1474</v>
      </c>
      <c r="B361" s="7">
        <v>2026</v>
      </c>
      <c r="C361" s="7" t="s">
        <v>261</v>
      </c>
      <c r="D361" s="7" t="s">
        <v>55</v>
      </c>
      <c r="E361" s="7" t="s">
        <v>184</v>
      </c>
      <c r="F361" s="7" t="s">
        <v>597</v>
      </c>
      <c r="G361" s="18">
        <v>46077</v>
      </c>
      <c r="H361" s="18">
        <v>46077</v>
      </c>
      <c r="I361" s="18">
        <v>46203</v>
      </c>
      <c r="J361" s="7" t="str">
        <f>VLOOKUP(D361,Droplist!A:C,3,0)</f>
        <v>Mette B. Karapetian</v>
      </c>
      <c r="K361" s="7"/>
      <c r="L361" s="7" t="s">
        <v>601</v>
      </c>
      <c r="M361" s="7" t="str">
        <f t="shared" si="10"/>
        <v>PENDING OUTCOME</v>
      </c>
      <c r="N361" s="7"/>
      <c r="O361" s="7">
        <v>128106</v>
      </c>
      <c r="P361" s="7">
        <v>1756</v>
      </c>
      <c r="Q361" s="13">
        <f t="shared" si="11"/>
        <v>72.953302961275625</v>
      </c>
      <c r="R361" s="7"/>
      <c r="S361" s="7"/>
      <c r="T361" s="7"/>
      <c r="U361" s="7"/>
      <c r="V361" s="9" t="s">
        <v>727</v>
      </c>
    </row>
    <row r="362" spans="1:22" x14ac:dyDescent="0.25">
      <c r="A362" s="7">
        <v>1475</v>
      </c>
      <c r="B362" s="7">
        <v>2026</v>
      </c>
      <c r="C362" s="7" t="s">
        <v>261</v>
      </c>
      <c r="D362" s="7" t="s">
        <v>185</v>
      </c>
      <c r="E362" s="7" t="s">
        <v>186</v>
      </c>
      <c r="F362" s="7" t="s">
        <v>617</v>
      </c>
      <c r="G362" s="18">
        <v>46079</v>
      </c>
      <c r="H362" s="18">
        <v>46143</v>
      </c>
      <c r="I362" s="18">
        <v>46507</v>
      </c>
      <c r="J362" s="7" t="str">
        <f>VLOOKUP(D362,Droplist!A:C,3,0)</f>
        <v>Jens Pottschul</v>
      </c>
      <c r="K362" s="7" t="s">
        <v>346</v>
      </c>
      <c r="L362" s="7" t="s">
        <v>264</v>
      </c>
      <c r="M362" s="7" t="str">
        <f t="shared" si="10"/>
        <v>AWARDED</v>
      </c>
      <c r="N362" s="7"/>
      <c r="O362" s="7">
        <v>1310</v>
      </c>
      <c r="P362" s="7">
        <v>357</v>
      </c>
      <c r="Q362" s="13">
        <f t="shared" si="11"/>
        <v>3.6694677871148458</v>
      </c>
      <c r="R362" s="7" t="s">
        <v>265</v>
      </c>
      <c r="S362" s="7" t="s">
        <v>265</v>
      </c>
      <c r="T362" s="7">
        <v>88.154000000000011</v>
      </c>
      <c r="U362" s="7"/>
      <c r="V362" s="9" t="s">
        <v>347</v>
      </c>
    </row>
    <row r="363" spans="1:22" x14ac:dyDescent="0.25">
      <c r="A363" s="7">
        <v>1476</v>
      </c>
      <c r="B363" s="7">
        <v>2026</v>
      </c>
      <c r="C363" s="7" t="s">
        <v>261</v>
      </c>
      <c r="D363" s="7" t="s">
        <v>102</v>
      </c>
      <c r="E363" s="7" t="s">
        <v>194</v>
      </c>
      <c r="F363" s="7" t="s">
        <v>617</v>
      </c>
      <c r="G363" s="18">
        <v>46080</v>
      </c>
      <c r="H363" s="18">
        <v>46143</v>
      </c>
      <c r="I363" s="18">
        <v>46507</v>
      </c>
      <c r="J363" s="7" t="str">
        <f>VLOOKUP(D363,Droplist!A:C,3,0)</f>
        <v>Jens Pottschul</v>
      </c>
      <c r="K363" s="7" t="s">
        <v>194</v>
      </c>
      <c r="L363" s="7" t="s">
        <v>264</v>
      </c>
      <c r="M363" s="7" t="str">
        <f t="shared" si="10"/>
        <v>AWARDED</v>
      </c>
      <c r="N363" s="7"/>
      <c r="O363" s="7">
        <v>1975</v>
      </c>
      <c r="P363" s="7">
        <v>223</v>
      </c>
      <c r="Q363" s="13">
        <f t="shared" si="11"/>
        <v>8.856502242152466</v>
      </c>
      <c r="R363" s="7">
        <v>736</v>
      </c>
      <c r="S363" s="7">
        <v>245</v>
      </c>
      <c r="T363" s="7">
        <v>37.507999999999996</v>
      </c>
      <c r="U363" s="7">
        <v>3.45</v>
      </c>
      <c r="V363" s="9"/>
    </row>
    <row r="364" spans="1:22" x14ac:dyDescent="0.25">
      <c r="A364" s="7">
        <v>1477</v>
      </c>
      <c r="B364" s="7">
        <v>2026</v>
      </c>
      <c r="C364" s="7" t="s">
        <v>261</v>
      </c>
      <c r="D364" s="7" t="s">
        <v>45</v>
      </c>
      <c r="E364" s="7" t="s">
        <v>209</v>
      </c>
      <c r="F364" s="7" t="s">
        <v>597</v>
      </c>
      <c r="G364" s="18">
        <v>46084</v>
      </c>
      <c r="H364" s="18">
        <v>46113</v>
      </c>
      <c r="I364" s="18">
        <v>46387</v>
      </c>
      <c r="J364" s="7" t="str">
        <f>VLOOKUP(D364,Droplist!A:C,3,0)</f>
        <v>Dennis Frankowski</v>
      </c>
      <c r="K364" s="7"/>
      <c r="L364" s="7" t="s">
        <v>601</v>
      </c>
      <c r="M364" s="7" t="str">
        <f t="shared" si="10"/>
        <v>PENDING OUTCOME</v>
      </c>
      <c r="N364" s="7"/>
      <c r="O364" s="7">
        <v>5568</v>
      </c>
      <c r="P364" s="7">
        <v>53</v>
      </c>
      <c r="Q364" s="13">
        <f t="shared" si="11"/>
        <v>105.05660377358491</v>
      </c>
      <c r="R364" s="7"/>
      <c r="S364" s="7"/>
      <c r="T364" s="7"/>
      <c r="U364" s="7"/>
      <c r="V364" s="9"/>
    </row>
    <row r="365" spans="1:22" x14ac:dyDescent="0.25">
      <c r="A365" s="7">
        <v>1478</v>
      </c>
      <c r="B365" s="7">
        <v>2026</v>
      </c>
      <c r="C365" s="7" t="s">
        <v>261</v>
      </c>
      <c r="D365" s="7" t="s">
        <v>87</v>
      </c>
      <c r="E365" s="7" t="s">
        <v>213</v>
      </c>
      <c r="F365" s="7" t="s">
        <v>617</v>
      </c>
      <c r="G365" s="18">
        <v>46085</v>
      </c>
      <c r="H365" s="18">
        <v>46113</v>
      </c>
      <c r="I365" s="18">
        <v>46295</v>
      </c>
      <c r="J365" s="7" t="str">
        <f>VLOOKUP(D365,Droplist!A:C,3,0)</f>
        <v>Martin Schulz</v>
      </c>
      <c r="K365" s="7" t="s">
        <v>213</v>
      </c>
      <c r="L365" s="7" t="s">
        <v>264</v>
      </c>
      <c r="M365" s="7" t="str">
        <f t="shared" si="10"/>
        <v>MAINTENANCE</v>
      </c>
      <c r="N365" s="7"/>
      <c r="O365" s="7">
        <v>1000</v>
      </c>
      <c r="P365" s="7">
        <v>48</v>
      </c>
      <c r="Q365" s="13">
        <f t="shared" si="11"/>
        <v>20.833333333333332</v>
      </c>
      <c r="R365" s="7">
        <v>1800</v>
      </c>
      <c r="S365" s="7">
        <v>150</v>
      </c>
      <c r="T365" s="7">
        <v>404.52699999999993</v>
      </c>
      <c r="U365" s="7"/>
      <c r="V365" s="9"/>
    </row>
    <row r="366" spans="1:22" x14ac:dyDescent="0.25">
      <c r="A366" s="7">
        <v>1479</v>
      </c>
      <c r="B366" s="7">
        <v>2026</v>
      </c>
      <c r="C366" s="7" t="s">
        <v>261</v>
      </c>
      <c r="D366" s="7" t="s">
        <v>55</v>
      </c>
      <c r="E366" s="7" t="s">
        <v>219</v>
      </c>
      <c r="F366" s="7" t="s">
        <v>597</v>
      </c>
      <c r="G366" s="18">
        <v>46087</v>
      </c>
      <c r="H366" s="18">
        <v>46087</v>
      </c>
      <c r="I366" s="18">
        <v>46295</v>
      </c>
      <c r="J366" s="7" t="str">
        <f>VLOOKUP(D366,Droplist!A:C,3,0)</f>
        <v>Mette B. Karapetian</v>
      </c>
      <c r="K366" s="7"/>
      <c r="L366" s="7" t="s">
        <v>601</v>
      </c>
      <c r="M366" s="7" t="str">
        <f t="shared" si="10"/>
        <v>PENDING OUTCOME</v>
      </c>
      <c r="N366" s="7"/>
      <c r="O366" s="7">
        <v>7271</v>
      </c>
      <c r="P366" s="7">
        <v>2030</v>
      </c>
      <c r="Q366" s="13">
        <f t="shared" si="11"/>
        <v>3.5817733990147782</v>
      </c>
      <c r="R366" s="7"/>
      <c r="S366" s="7"/>
      <c r="T366" s="7"/>
      <c r="U366" s="7"/>
      <c r="V366" s="9"/>
    </row>
    <row r="367" spans="1:22" x14ac:dyDescent="0.25">
      <c r="A367" s="7">
        <v>1480</v>
      </c>
      <c r="B367" s="7">
        <v>2026</v>
      </c>
      <c r="C367" s="7" t="s">
        <v>261</v>
      </c>
      <c r="D367" s="7" t="s">
        <v>99</v>
      </c>
      <c r="E367" s="7" t="s">
        <v>728</v>
      </c>
      <c r="F367" s="7" t="s">
        <v>597</v>
      </c>
      <c r="G367" s="18">
        <v>46083</v>
      </c>
      <c r="H367" s="18">
        <v>46082</v>
      </c>
      <c r="I367" s="18">
        <v>46446</v>
      </c>
      <c r="J367" s="7" t="str">
        <f>VLOOKUP(D367,Droplist!A:C,3,0)</f>
        <v>Kevin Taylor</v>
      </c>
      <c r="K367" s="7"/>
      <c r="L367" s="7" t="s">
        <v>601</v>
      </c>
      <c r="M367" s="7" t="str">
        <f t="shared" si="10"/>
        <v>PENDING OUTCOME</v>
      </c>
      <c r="N367" s="7"/>
      <c r="O367" s="7">
        <v>7846</v>
      </c>
      <c r="P367" s="7">
        <v>52</v>
      </c>
      <c r="Q367" s="13">
        <f t="shared" si="11"/>
        <v>150.88461538461539</v>
      </c>
      <c r="R367" s="7"/>
      <c r="S367" s="7"/>
      <c r="T367" s="7"/>
      <c r="U367" s="7"/>
      <c r="V367" s="9"/>
    </row>
    <row r="368" spans="1:22" x14ac:dyDescent="0.25">
      <c r="A368" s="7">
        <v>1481</v>
      </c>
      <c r="B368" s="7">
        <v>2026</v>
      </c>
      <c r="C368" s="7" t="s">
        <v>261</v>
      </c>
      <c r="D368" s="7" t="s">
        <v>45</v>
      </c>
      <c r="E368" s="7" t="s">
        <v>239</v>
      </c>
      <c r="F368" s="7" t="s">
        <v>597</v>
      </c>
      <c r="G368" s="18">
        <v>46093</v>
      </c>
      <c r="H368" s="18">
        <v>46113</v>
      </c>
      <c r="I368" s="18">
        <v>46387</v>
      </c>
      <c r="J368" s="7" t="str">
        <f>VLOOKUP(D368,Droplist!A:C,3,0)</f>
        <v>Dennis Frankowski</v>
      </c>
      <c r="K368" s="7"/>
      <c r="L368" s="7" t="s">
        <v>601</v>
      </c>
      <c r="M368" s="7" t="str">
        <f t="shared" si="10"/>
        <v>PENDING OUTCOME</v>
      </c>
      <c r="N368" s="7"/>
      <c r="O368" s="7">
        <v>3873</v>
      </c>
      <c r="P368" s="7">
        <v>727</v>
      </c>
      <c r="Q368" s="13">
        <f t="shared" si="11"/>
        <v>5.3273727647867952</v>
      </c>
      <c r="R368" s="7"/>
      <c r="S368" s="7"/>
      <c r="T368" s="7"/>
      <c r="U368" s="7"/>
      <c r="V368" s="9"/>
    </row>
    <row r="369" spans="1:22" x14ac:dyDescent="0.25">
      <c r="A369" s="7">
        <v>1482</v>
      </c>
      <c r="B369" s="7">
        <v>2026</v>
      </c>
      <c r="C369" s="7" t="s">
        <v>261</v>
      </c>
      <c r="D369" s="7" t="s">
        <v>45</v>
      </c>
      <c r="E369" s="7" t="s">
        <v>454</v>
      </c>
      <c r="F369" s="7" t="s">
        <v>597</v>
      </c>
      <c r="G369" s="18">
        <v>46098</v>
      </c>
      <c r="H369" s="18">
        <v>46113</v>
      </c>
      <c r="I369" s="18">
        <v>46387</v>
      </c>
      <c r="J369" s="7" t="str">
        <f>VLOOKUP(D369,Droplist!A:C,3,0)</f>
        <v>Dennis Frankowski</v>
      </c>
      <c r="K369" s="7"/>
      <c r="L369" s="7" t="s">
        <v>601</v>
      </c>
      <c r="M369" s="7" t="str">
        <f t="shared" si="10"/>
        <v>PENDING OUTCOME</v>
      </c>
      <c r="N369" s="7"/>
      <c r="O369" s="7">
        <v>56903</v>
      </c>
      <c r="P369" s="7">
        <v>279</v>
      </c>
      <c r="Q369" s="13">
        <f t="shared" si="11"/>
        <v>203.95340501792114</v>
      </c>
      <c r="R369" s="7"/>
      <c r="S369" s="7"/>
      <c r="T369" s="7"/>
      <c r="U369" s="7"/>
      <c r="V369" s="9" t="s">
        <v>724</v>
      </c>
    </row>
    <row r="370" spans="1:22" x14ac:dyDescent="0.25">
      <c r="A370" s="7">
        <v>1483</v>
      </c>
      <c r="B370" s="7">
        <v>2026</v>
      </c>
      <c r="C370" s="7" t="s">
        <v>261</v>
      </c>
      <c r="D370" s="7" t="s">
        <v>729</v>
      </c>
      <c r="E370" s="7" t="s">
        <v>208</v>
      </c>
      <c r="F370" s="7" t="s">
        <v>597</v>
      </c>
      <c r="G370" s="18">
        <v>46097</v>
      </c>
      <c r="H370" s="18">
        <v>46113</v>
      </c>
      <c r="I370" s="18">
        <v>46203</v>
      </c>
      <c r="J370" s="7" t="str">
        <f>VLOOKUP(D370,Droplist!A:C,3,0)</f>
        <v>Roatha LY</v>
      </c>
      <c r="K370" s="7"/>
      <c r="L370" s="7" t="s">
        <v>601</v>
      </c>
      <c r="M370" s="7" t="str">
        <f t="shared" si="10"/>
        <v>PENDING OUTCOME</v>
      </c>
      <c r="N370" s="7"/>
      <c r="O370" s="7">
        <v>13077</v>
      </c>
      <c r="P370" s="7">
        <v>375</v>
      </c>
      <c r="Q370" s="13">
        <f t="shared" si="11"/>
        <v>34.872</v>
      </c>
      <c r="R370" s="7"/>
      <c r="S370" s="7"/>
      <c r="T370" s="7"/>
      <c r="U370" s="7"/>
      <c r="V370" s="9" t="s">
        <v>724</v>
      </c>
    </row>
    <row r="371" spans="1:22" x14ac:dyDescent="0.25">
      <c r="A371" s="7">
        <v>1484</v>
      </c>
      <c r="B371" s="7">
        <v>2026</v>
      </c>
      <c r="C371" s="7" t="s">
        <v>261</v>
      </c>
      <c r="D371" s="7" t="s">
        <v>81</v>
      </c>
      <c r="E371" s="7" t="s">
        <v>411</v>
      </c>
      <c r="F371" s="7" t="s">
        <v>597</v>
      </c>
      <c r="G371" s="18">
        <v>46111</v>
      </c>
      <c r="H371" s="18">
        <v>46235</v>
      </c>
      <c r="I371" s="18">
        <v>46599</v>
      </c>
      <c r="J371" s="7" t="str">
        <f>VLOOKUP(D371,Droplist!A:C,3,0)</f>
        <v>Jens Pottschul</v>
      </c>
      <c r="K371" s="7"/>
      <c r="L371" s="7" t="s">
        <v>601</v>
      </c>
      <c r="M371" s="7" t="str">
        <f t="shared" si="10"/>
        <v>PENDING OUTCOME</v>
      </c>
      <c r="N371" s="7"/>
      <c r="O371" s="7">
        <v>1222</v>
      </c>
      <c r="P371" s="7">
        <v>1587</v>
      </c>
      <c r="Q371" s="13">
        <f t="shared" si="11"/>
        <v>0.77000630119722746</v>
      </c>
      <c r="R371" s="7"/>
      <c r="S371" s="7"/>
      <c r="T371" s="7"/>
      <c r="U371" s="7"/>
      <c r="V371" s="9"/>
    </row>
    <row r="372" spans="1:22" x14ac:dyDescent="0.25">
      <c r="A372" s="7">
        <v>1485</v>
      </c>
      <c r="B372" s="7">
        <v>2026</v>
      </c>
      <c r="C372" s="7" t="s">
        <v>261</v>
      </c>
      <c r="D372" s="7" t="s">
        <v>102</v>
      </c>
      <c r="E372" s="7" t="s">
        <v>730</v>
      </c>
      <c r="F372" s="7" t="s">
        <v>597</v>
      </c>
      <c r="G372" s="18">
        <v>46112</v>
      </c>
      <c r="H372" s="18">
        <v>46113</v>
      </c>
      <c r="I372" s="18">
        <v>46203</v>
      </c>
      <c r="J372" s="7" t="str">
        <f>VLOOKUP(D372,Droplist!A:C,3,0)</f>
        <v>Jens Pottschul</v>
      </c>
      <c r="K372" s="7"/>
      <c r="L372" s="7" t="s">
        <v>601</v>
      </c>
      <c r="M372" s="7" t="str">
        <f t="shared" si="10"/>
        <v>PENDING OUTCOME</v>
      </c>
      <c r="N372" s="7"/>
      <c r="O372" s="7">
        <v>1700</v>
      </c>
      <c r="P372" s="7">
        <v>87</v>
      </c>
      <c r="Q372" s="13">
        <f t="shared" si="11"/>
        <v>19.540229885057471</v>
      </c>
      <c r="R372" s="7"/>
      <c r="S372" s="7"/>
      <c r="T372" s="7"/>
      <c r="U372" s="7"/>
      <c r="V372" s="9" t="s">
        <v>724</v>
      </c>
    </row>
    <row r="373" spans="1:22" x14ac:dyDescent="0.25">
      <c r="A373" s="7">
        <v>1486</v>
      </c>
      <c r="B373" s="7">
        <v>2026</v>
      </c>
      <c r="C373" s="7" t="s">
        <v>261</v>
      </c>
      <c r="D373" s="7" t="s">
        <v>234</v>
      </c>
      <c r="E373" s="7" t="s">
        <v>457</v>
      </c>
      <c r="F373" s="7" t="s">
        <v>597</v>
      </c>
      <c r="G373" s="18">
        <v>46113</v>
      </c>
      <c r="H373" s="18">
        <v>46113</v>
      </c>
      <c r="I373" s="18">
        <v>46173</v>
      </c>
      <c r="J373" s="7" t="str">
        <f>VLOOKUP(D373,Droplist!A:C,3,0)</f>
        <v>Chris Crowder</v>
      </c>
      <c r="K373" s="7"/>
      <c r="L373" s="7" t="s">
        <v>601</v>
      </c>
      <c r="M373" s="7" t="str">
        <f t="shared" si="10"/>
        <v>PENDING OUTCOME</v>
      </c>
      <c r="N373" s="7"/>
      <c r="O373" s="7">
        <v>8300</v>
      </c>
      <c r="P373" s="7">
        <v>154</v>
      </c>
      <c r="Q373" s="13">
        <f t="shared" si="11"/>
        <v>53.896103896103895</v>
      </c>
      <c r="R373" s="7"/>
      <c r="S373" s="7"/>
      <c r="T373" s="7"/>
      <c r="U373" s="7"/>
      <c r="V373" s="9"/>
    </row>
    <row r="374" spans="1:22" x14ac:dyDescent="0.25">
      <c r="A374" s="7">
        <v>1487</v>
      </c>
      <c r="B374" s="7">
        <v>2026</v>
      </c>
      <c r="C374" s="7" t="s">
        <v>261</v>
      </c>
      <c r="D374" s="7" t="s">
        <v>407</v>
      </c>
      <c r="E374" s="7" t="s">
        <v>731</v>
      </c>
      <c r="F374" s="7" t="s">
        <v>597</v>
      </c>
      <c r="G374" s="18">
        <v>46115</v>
      </c>
      <c r="H374" s="18">
        <v>46113</v>
      </c>
      <c r="I374" s="18">
        <v>46477</v>
      </c>
      <c r="J374" s="7" t="str">
        <f>VLOOKUP(D374,Droplist!A:C,3,0)</f>
        <v xml:space="preserve">Roberta MacLeod-Stuart </v>
      </c>
      <c r="K374" s="7"/>
      <c r="L374" s="7" t="s">
        <v>601</v>
      </c>
      <c r="M374" s="7" t="str">
        <f t="shared" si="10"/>
        <v>PENDING OUTCOME</v>
      </c>
      <c r="N374" s="7"/>
      <c r="O374" s="7">
        <v>5000</v>
      </c>
      <c r="P374" s="7">
        <v>174</v>
      </c>
      <c r="Q374" s="13">
        <f t="shared" si="11"/>
        <v>28.735632183908045</v>
      </c>
      <c r="R374" s="7"/>
      <c r="S374" s="7"/>
      <c r="T374" s="7"/>
      <c r="U374" s="7"/>
      <c r="V374" s="9" t="s">
        <v>724</v>
      </c>
    </row>
  </sheetData>
  <autoFilter ref="A1:V374" xr:uid="{B16AF706-6FF6-4B20-84D5-38DC8B61CFFE}"/>
  <conditionalFormatting sqref="N2:N1048576">
    <cfRule type="containsText" dxfId="1" priority="2" operator="containsText" text="NO FEEDBACK">
      <formula>NOT(ISERROR(SEARCH("NO FEEDBACK",N2)))</formula>
    </cfRule>
  </conditionalFormatting>
  <conditionalFormatting sqref="R2:S1048576">
    <cfRule type="containsText" dxfId="0" priority="1" operator="containsText" text="Not provided">
      <formula>NOT(ISERROR(SEARCH("Not provided",R2)))</formula>
    </cfRule>
  </conditionalFormatting>
  <dataValidations count="1">
    <dataValidation type="list" allowBlank="1" showInputMessage="1" showErrorMessage="1" sqref="C2:C1048576" xr:uid="{377BD33C-00C9-4B64-8B2D-855A2BEC2DC9}">
      <formula1>"WRC,REGIONAL"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F8AACB7-6F53-4077-BC8A-D3770819E39D}">
          <x14:formula1>
            <xm:f>Droplist!$A$2:$A$1048576</xm:f>
          </x14:formula1>
          <xm:sqref>D2:D1048576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D7A1-B0A6-474C-8CDA-63E5BDBD8C83}">
  <sheetPr>
    <tabColor theme="5" tint="0.59999389629810485"/>
  </sheetPr>
  <dimension ref="A1:K193"/>
  <sheetViews>
    <sheetView showGridLines="0" workbookViewId="0">
      <pane ySplit="2" topLeftCell="A3" activePane="bottomLeft" state="frozen"/>
      <selection activeCell="A2" sqref="A2"/>
      <selection pane="bottomLeft" activeCell="A2" sqref="A2"/>
    </sheetView>
  </sheetViews>
  <sheetFormatPr defaultColWidth="10.85546875" defaultRowHeight="13.5" x14ac:dyDescent="0.25"/>
  <cols>
    <col min="1" max="1" width="20.42578125" style="39" customWidth="1"/>
    <col min="2" max="2" width="8.28515625" style="39" customWidth="1"/>
    <col min="3" max="3" width="7.5703125" style="39" customWidth="1"/>
    <col min="4" max="4" width="13.28515625" style="39" customWidth="1"/>
    <col min="5" max="5" width="11.85546875" style="39" customWidth="1"/>
    <col min="6" max="6" width="13" style="39" customWidth="1"/>
    <col min="7" max="7" width="6.28515625" style="39" customWidth="1"/>
    <col min="8" max="8" width="54.28515625" style="40" customWidth="1"/>
    <col min="9" max="9" width="37.5703125" style="40" customWidth="1"/>
    <col min="10" max="10" width="30.85546875" style="40" customWidth="1"/>
    <col min="11" max="11" width="10.140625" style="41" bestFit="1" customWidth="1"/>
    <col min="12" max="16384" width="10.85546875" style="39"/>
  </cols>
  <sheetData>
    <row r="1" spans="1:11" s="38" customFormat="1" ht="18.75" x14ac:dyDescent="0.25">
      <c r="A1" s="114" t="s">
        <v>732</v>
      </c>
      <c r="B1" s="114"/>
      <c r="C1" s="114"/>
      <c r="D1" s="114"/>
      <c r="E1" s="114"/>
      <c r="F1" s="114"/>
      <c r="G1" s="114"/>
      <c r="H1" s="114"/>
      <c r="I1" s="114"/>
      <c r="J1" s="42"/>
      <c r="K1" s="43"/>
    </row>
    <row r="2" spans="1:11" ht="31.5" customHeight="1" x14ac:dyDescent="0.25">
      <c r="A2" s="44" t="s">
        <v>1</v>
      </c>
      <c r="B2" s="45" t="s">
        <v>733</v>
      </c>
      <c r="C2" s="45" t="s">
        <v>734</v>
      </c>
      <c r="D2" s="44" t="s">
        <v>735</v>
      </c>
      <c r="E2" s="44" t="s">
        <v>147</v>
      </c>
      <c r="F2" s="44" t="s">
        <v>736</v>
      </c>
      <c r="G2" s="44" t="s">
        <v>245</v>
      </c>
      <c r="H2" s="45" t="s">
        <v>737</v>
      </c>
      <c r="I2" s="45" t="s">
        <v>738</v>
      </c>
      <c r="J2" s="46" t="s">
        <v>739</v>
      </c>
      <c r="K2" s="47" t="s">
        <v>740</v>
      </c>
    </row>
    <row r="3" spans="1:11" x14ac:dyDescent="0.25">
      <c r="A3" s="48" t="s">
        <v>30</v>
      </c>
      <c r="B3" s="48" t="s">
        <v>741</v>
      </c>
      <c r="C3" s="49" t="s">
        <v>742</v>
      </c>
      <c r="D3" s="50" t="s">
        <v>743</v>
      </c>
      <c r="E3" s="50" t="s">
        <v>744</v>
      </c>
      <c r="F3" s="51">
        <v>45320</v>
      </c>
      <c r="G3" s="52">
        <v>2024</v>
      </c>
      <c r="H3" s="53" t="s">
        <v>745</v>
      </c>
      <c r="I3" s="53" t="s">
        <v>746</v>
      </c>
      <c r="J3" s="53" t="s">
        <v>747</v>
      </c>
      <c r="K3" s="54">
        <v>1</v>
      </c>
    </row>
    <row r="4" spans="1:11" ht="22.5" x14ac:dyDescent="0.25">
      <c r="A4" s="48" t="s">
        <v>748</v>
      </c>
      <c r="B4" s="48" t="s">
        <v>741</v>
      </c>
      <c r="C4" s="49" t="s">
        <v>742</v>
      </c>
      <c r="D4" s="50" t="s">
        <v>743</v>
      </c>
      <c r="E4" s="50" t="s">
        <v>744</v>
      </c>
      <c r="F4" s="51">
        <v>45315</v>
      </c>
      <c r="G4" s="52">
        <v>2024</v>
      </c>
      <c r="H4" s="53" t="s">
        <v>749</v>
      </c>
      <c r="I4" s="53" t="s">
        <v>746</v>
      </c>
      <c r="J4" s="53" t="s">
        <v>747</v>
      </c>
      <c r="K4" s="54">
        <v>1</v>
      </c>
    </row>
    <row r="5" spans="1:11" x14ac:dyDescent="0.25">
      <c r="A5" s="48" t="s">
        <v>30</v>
      </c>
      <c r="B5" s="48" t="s">
        <v>741</v>
      </c>
      <c r="C5" s="49" t="s">
        <v>742</v>
      </c>
      <c r="D5" s="50" t="s">
        <v>743</v>
      </c>
      <c r="E5" s="50" t="s">
        <v>750</v>
      </c>
      <c r="F5" s="51">
        <v>45345</v>
      </c>
      <c r="G5" s="52">
        <v>2024</v>
      </c>
      <c r="H5" s="53" t="s">
        <v>751</v>
      </c>
      <c r="I5" s="53" t="s">
        <v>752</v>
      </c>
      <c r="J5" s="53" t="s">
        <v>747</v>
      </c>
      <c r="K5" s="54">
        <v>1</v>
      </c>
    </row>
    <row r="6" spans="1:11" x14ac:dyDescent="0.25">
      <c r="A6" s="48" t="s">
        <v>748</v>
      </c>
      <c r="B6" s="48" t="s">
        <v>741</v>
      </c>
      <c r="C6" s="49" t="s">
        <v>742</v>
      </c>
      <c r="D6" s="50" t="s">
        <v>743</v>
      </c>
      <c r="E6" s="50" t="s">
        <v>753</v>
      </c>
      <c r="F6" s="51">
        <v>45407</v>
      </c>
      <c r="G6" s="52">
        <v>2024</v>
      </c>
      <c r="H6" s="53" t="s">
        <v>754</v>
      </c>
      <c r="I6" s="53" t="s">
        <v>755</v>
      </c>
      <c r="J6" s="53" t="s">
        <v>756</v>
      </c>
      <c r="K6" s="54">
        <v>1</v>
      </c>
    </row>
    <row r="7" spans="1:11" x14ac:dyDescent="0.25">
      <c r="A7" s="48" t="s">
        <v>52</v>
      </c>
      <c r="B7" s="48" t="s">
        <v>741</v>
      </c>
      <c r="C7" s="55" t="s">
        <v>742</v>
      </c>
      <c r="D7" s="50" t="s">
        <v>743</v>
      </c>
      <c r="E7" s="50" t="s">
        <v>753</v>
      </c>
      <c r="F7" s="51">
        <v>45401</v>
      </c>
      <c r="G7" s="50">
        <v>2024</v>
      </c>
      <c r="H7" s="53" t="s">
        <v>757</v>
      </c>
      <c r="I7" s="53" t="s">
        <v>752</v>
      </c>
      <c r="J7" s="53" t="s">
        <v>758</v>
      </c>
      <c r="K7" s="54">
        <v>1</v>
      </c>
    </row>
    <row r="8" spans="1:11" x14ac:dyDescent="0.25">
      <c r="A8" s="48" t="s">
        <v>73</v>
      </c>
      <c r="B8" s="48" t="s">
        <v>741</v>
      </c>
      <c r="C8" s="55" t="s">
        <v>742</v>
      </c>
      <c r="D8" s="50" t="s">
        <v>743</v>
      </c>
      <c r="E8" s="50" t="s">
        <v>753</v>
      </c>
      <c r="F8" s="51">
        <v>45401</v>
      </c>
      <c r="G8" s="50">
        <v>2024</v>
      </c>
      <c r="H8" s="53" t="s">
        <v>757</v>
      </c>
      <c r="I8" s="53" t="s">
        <v>752</v>
      </c>
      <c r="J8" s="53" t="s">
        <v>758</v>
      </c>
      <c r="K8" s="54">
        <v>1</v>
      </c>
    </row>
    <row r="9" spans="1:11" x14ac:dyDescent="0.25">
      <c r="A9" s="48" t="s">
        <v>759</v>
      </c>
      <c r="B9" s="48" t="s">
        <v>741</v>
      </c>
      <c r="C9" s="55" t="s">
        <v>742</v>
      </c>
      <c r="D9" s="50" t="s">
        <v>743</v>
      </c>
      <c r="E9" s="50" t="s">
        <v>753</v>
      </c>
      <c r="F9" s="51">
        <v>45401</v>
      </c>
      <c r="G9" s="50">
        <v>2024</v>
      </c>
      <c r="H9" s="53" t="s">
        <v>757</v>
      </c>
      <c r="I9" s="53" t="s">
        <v>752</v>
      </c>
      <c r="J9" s="53" t="s">
        <v>758</v>
      </c>
      <c r="K9" s="54">
        <v>1</v>
      </c>
    </row>
    <row r="10" spans="1:11" x14ac:dyDescent="0.25">
      <c r="A10" s="48" t="s">
        <v>46</v>
      </c>
      <c r="B10" s="48" t="s">
        <v>741</v>
      </c>
      <c r="C10" s="55" t="s">
        <v>742</v>
      </c>
      <c r="D10" s="50" t="s">
        <v>743</v>
      </c>
      <c r="E10" s="50" t="s">
        <v>753</v>
      </c>
      <c r="F10" s="51">
        <v>45401</v>
      </c>
      <c r="G10" s="50">
        <v>2024</v>
      </c>
      <c r="H10" s="53" t="s">
        <v>757</v>
      </c>
      <c r="I10" s="53" t="s">
        <v>752</v>
      </c>
      <c r="J10" s="53" t="s">
        <v>758</v>
      </c>
      <c r="K10" s="54">
        <v>1</v>
      </c>
    </row>
    <row r="11" spans="1:11" x14ac:dyDescent="0.25">
      <c r="A11" s="48" t="s">
        <v>760</v>
      </c>
      <c r="B11" s="48" t="s">
        <v>741</v>
      </c>
      <c r="C11" s="55" t="s">
        <v>742</v>
      </c>
      <c r="D11" s="50" t="s">
        <v>743</v>
      </c>
      <c r="E11" s="50" t="s">
        <v>753</v>
      </c>
      <c r="F11" s="51">
        <v>45401</v>
      </c>
      <c r="G11" s="50">
        <v>2024</v>
      </c>
      <c r="H11" s="53" t="s">
        <v>757</v>
      </c>
      <c r="I11" s="53" t="s">
        <v>752</v>
      </c>
      <c r="J11" s="53" t="s">
        <v>758</v>
      </c>
      <c r="K11" s="54">
        <v>1</v>
      </c>
    </row>
    <row r="12" spans="1:11" x14ac:dyDescent="0.25">
      <c r="A12" s="48" t="s">
        <v>761</v>
      </c>
      <c r="B12" s="48" t="s">
        <v>741</v>
      </c>
      <c r="C12" s="55" t="s">
        <v>742</v>
      </c>
      <c r="D12" s="50" t="s">
        <v>743</v>
      </c>
      <c r="E12" s="50" t="s">
        <v>753</v>
      </c>
      <c r="F12" s="51">
        <v>45401</v>
      </c>
      <c r="G12" s="50">
        <v>2024</v>
      </c>
      <c r="H12" s="53" t="s">
        <v>757</v>
      </c>
      <c r="I12" s="53" t="s">
        <v>752</v>
      </c>
      <c r="J12" s="53" t="s">
        <v>758</v>
      </c>
      <c r="K12" s="54">
        <v>1</v>
      </c>
    </row>
    <row r="13" spans="1:11" x14ac:dyDescent="0.25">
      <c r="A13" s="48" t="s">
        <v>52</v>
      </c>
      <c r="B13" s="48" t="s">
        <v>741</v>
      </c>
      <c r="C13" s="55" t="s">
        <v>742</v>
      </c>
      <c r="D13" s="50" t="s">
        <v>743</v>
      </c>
      <c r="E13" s="50" t="s">
        <v>762</v>
      </c>
      <c r="F13" s="51">
        <v>45429</v>
      </c>
      <c r="G13" s="50">
        <v>2024</v>
      </c>
      <c r="H13" s="53" t="s">
        <v>763</v>
      </c>
      <c r="I13" s="53" t="s">
        <v>755</v>
      </c>
      <c r="J13" s="53" t="s">
        <v>758</v>
      </c>
      <c r="K13" s="54">
        <v>1</v>
      </c>
    </row>
    <row r="14" spans="1:11" x14ac:dyDescent="0.25">
      <c r="A14" s="48" t="s">
        <v>73</v>
      </c>
      <c r="B14" s="48" t="s">
        <v>741</v>
      </c>
      <c r="C14" s="55" t="s">
        <v>742</v>
      </c>
      <c r="D14" s="50" t="s">
        <v>743</v>
      </c>
      <c r="E14" s="50" t="s">
        <v>762</v>
      </c>
      <c r="F14" s="51">
        <v>45429</v>
      </c>
      <c r="G14" s="50">
        <v>2024</v>
      </c>
      <c r="H14" s="53" t="s">
        <v>763</v>
      </c>
      <c r="I14" s="53" t="s">
        <v>755</v>
      </c>
      <c r="J14" s="53" t="s">
        <v>758</v>
      </c>
      <c r="K14" s="54">
        <v>1</v>
      </c>
    </row>
    <row r="15" spans="1:11" x14ac:dyDescent="0.25">
      <c r="A15" s="48" t="s">
        <v>760</v>
      </c>
      <c r="B15" s="48" t="s">
        <v>741</v>
      </c>
      <c r="C15" s="55" t="s">
        <v>742</v>
      </c>
      <c r="D15" s="50" t="s">
        <v>743</v>
      </c>
      <c r="E15" s="50" t="s">
        <v>762</v>
      </c>
      <c r="F15" s="51">
        <v>45429</v>
      </c>
      <c r="G15" s="50">
        <v>2024</v>
      </c>
      <c r="H15" s="53" t="s">
        <v>763</v>
      </c>
      <c r="I15" s="53" t="s">
        <v>755</v>
      </c>
      <c r="J15" s="53" t="s">
        <v>758</v>
      </c>
      <c r="K15" s="54">
        <v>1</v>
      </c>
    </row>
    <row r="16" spans="1:11" x14ac:dyDescent="0.25">
      <c r="A16" s="48" t="s">
        <v>764</v>
      </c>
      <c r="B16" s="48" t="s">
        <v>741</v>
      </c>
      <c r="C16" s="55" t="s">
        <v>742</v>
      </c>
      <c r="D16" s="50" t="s">
        <v>743</v>
      </c>
      <c r="E16" s="50" t="s">
        <v>762</v>
      </c>
      <c r="F16" s="51">
        <v>45429</v>
      </c>
      <c r="G16" s="50">
        <v>2024</v>
      </c>
      <c r="H16" s="53" t="s">
        <v>763</v>
      </c>
      <c r="I16" s="53" t="s">
        <v>755</v>
      </c>
      <c r="J16" s="53" t="s">
        <v>758</v>
      </c>
      <c r="K16" s="54">
        <v>1</v>
      </c>
    </row>
    <row r="17" spans="1:11" x14ac:dyDescent="0.25">
      <c r="A17" s="48" t="s">
        <v>30</v>
      </c>
      <c r="B17" s="48" t="s">
        <v>741</v>
      </c>
      <c r="C17" s="55" t="s">
        <v>742</v>
      </c>
      <c r="D17" s="50" t="s">
        <v>743</v>
      </c>
      <c r="E17" s="50" t="s">
        <v>762</v>
      </c>
      <c r="F17" s="51">
        <v>45429</v>
      </c>
      <c r="G17" s="50">
        <v>2024</v>
      </c>
      <c r="H17" s="53" t="s">
        <v>763</v>
      </c>
      <c r="I17" s="53" t="s">
        <v>755</v>
      </c>
      <c r="J17" s="53" t="s">
        <v>758</v>
      </c>
      <c r="K17" s="54">
        <v>1</v>
      </c>
    </row>
    <row r="18" spans="1:11" x14ac:dyDescent="0.25">
      <c r="A18" s="48" t="s">
        <v>52</v>
      </c>
      <c r="B18" s="48" t="s">
        <v>741</v>
      </c>
      <c r="C18" s="55" t="s">
        <v>742</v>
      </c>
      <c r="D18" s="50" t="s">
        <v>743</v>
      </c>
      <c r="E18" s="50" t="s">
        <v>765</v>
      </c>
      <c r="F18" s="51">
        <v>45463</v>
      </c>
      <c r="G18" s="50">
        <v>2024</v>
      </c>
      <c r="H18" s="53" t="s">
        <v>766</v>
      </c>
      <c r="I18" s="53" t="s">
        <v>767</v>
      </c>
      <c r="J18" s="53" t="s">
        <v>758</v>
      </c>
      <c r="K18" s="54">
        <v>1</v>
      </c>
    </row>
    <row r="19" spans="1:11" x14ac:dyDescent="0.25">
      <c r="A19" s="48" t="s">
        <v>73</v>
      </c>
      <c r="B19" s="48" t="s">
        <v>741</v>
      </c>
      <c r="C19" s="55" t="s">
        <v>742</v>
      </c>
      <c r="D19" s="50" t="s">
        <v>743</v>
      </c>
      <c r="E19" s="50" t="s">
        <v>765</v>
      </c>
      <c r="F19" s="51">
        <v>45463</v>
      </c>
      <c r="G19" s="50">
        <v>2024</v>
      </c>
      <c r="H19" s="53" t="s">
        <v>766</v>
      </c>
      <c r="I19" s="53" t="s">
        <v>767</v>
      </c>
      <c r="J19" s="53" t="s">
        <v>758</v>
      </c>
      <c r="K19" s="54">
        <v>1</v>
      </c>
    </row>
    <row r="20" spans="1:11" x14ac:dyDescent="0.25">
      <c r="A20" s="48" t="s">
        <v>30</v>
      </c>
      <c r="B20" s="48" t="s">
        <v>741</v>
      </c>
      <c r="C20" s="55" t="s">
        <v>742</v>
      </c>
      <c r="D20" s="50" t="s">
        <v>743</v>
      </c>
      <c r="E20" s="50" t="s">
        <v>765</v>
      </c>
      <c r="F20" s="51">
        <v>45463</v>
      </c>
      <c r="G20" s="50">
        <v>2024</v>
      </c>
      <c r="H20" s="53" t="s">
        <v>766</v>
      </c>
      <c r="I20" s="53" t="s">
        <v>767</v>
      </c>
      <c r="J20" s="53" t="s">
        <v>758</v>
      </c>
      <c r="K20" s="54">
        <v>1</v>
      </c>
    </row>
    <row r="21" spans="1:11" x14ac:dyDescent="0.25">
      <c r="A21" s="48" t="s">
        <v>760</v>
      </c>
      <c r="B21" s="48" t="s">
        <v>741</v>
      </c>
      <c r="C21" s="55" t="s">
        <v>742</v>
      </c>
      <c r="D21" s="50" t="s">
        <v>743</v>
      </c>
      <c r="E21" s="50" t="s">
        <v>765</v>
      </c>
      <c r="F21" s="51">
        <v>45463</v>
      </c>
      <c r="G21" s="50">
        <v>2024</v>
      </c>
      <c r="H21" s="53" t="s">
        <v>766</v>
      </c>
      <c r="I21" s="53" t="s">
        <v>767</v>
      </c>
      <c r="J21" s="53" t="s">
        <v>758</v>
      </c>
      <c r="K21" s="54">
        <v>1</v>
      </c>
    </row>
    <row r="22" spans="1:11" x14ac:dyDescent="0.25">
      <c r="A22" s="48" t="s">
        <v>768</v>
      </c>
      <c r="B22" s="48" t="s">
        <v>741</v>
      </c>
      <c r="C22" s="55" t="s">
        <v>742</v>
      </c>
      <c r="D22" s="50" t="s">
        <v>743</v>
      </c>
      <c r="E22" s="50" t="s">
        <v>765</v>
      </c>
      <c r="F22" s="51">
        <v>45463</v>
      </c>
      <c r="G22" s="50">
        <v>2024</v>
      </c>
      <c r="H22" s="53" t="s">
        <v>766</v>
      </c>
      <c r="I22" s="53" t="s">
        <v>767</v>
      </c>
      <c r="J22" s="53" t="s">
        <v>758</v>
      </c>
      <c r="K22" s="54">
        <v>1</v>
      </c>
    </row>
    <row r="23" spans="1:11" x14ac:dyDescent="0.25">
      <c r="A23" s="48" t="s">
        <v>748</v>
      </c>
      <c r="B23" s="48" t="s">
        <v>741</v>
      </c>
      <c r="C23" s="55" t="s">
        <v>742</v>
      </c>
      <c r="D23" s="50" t="s">
        <v>743</v>
      </c>
      <c r="E23" s="50" t="s">
        <v>765</v>
      </c>
      <c r="F23" s="51">
        <v>45463</v>
      </c>
      <c r="G23" s="50">
        <v>2024</v>
      </c>
      <c r="H23" s="53" t="s">
        <v>766</v>
      </c>
      <c r="I23" s="53" t="s">
        <v>767</v>
      </c>
      <c r="J23" s="53" t="s">
        <v>758</v>
      </c>
      <c r="K23" s="54">
        <v>1</v>
      </c>
    </row>
    <row r="24" spans="1:11" x14ac:dyDescent="0.25">
      <c r="A24" s="48" t="s">
        <v>769</v>
      </c>
      <c r="B24" s="48" t="s">
        <v>741</v>
      </c>
      <c r="C24" s="55" t="s">
        <v>742</v>
      </c>
      <c r="D24" s="50" t="s">
        <v>743</v>
      </c>
      <c r="E24" s="50" t="s">
        <v>765</v>
      </c>
      <c r="F24" s="51">
        <v>45463</v>
      </c>
      <c r="G24" s="50">
        <v>2024</v>
      </c>
      <c r="H24" s="53" t="s">
        <v>766</v>
      </c>
      <c r="I24" s="53" t="s">
        <v>767</v>
      </c>
      <c r="J24" s="53" t="s">
        <v>758</v>
      </c>
      <c r="K24" s="54">
        <v>1</v>
      </c>
    </row>
    <row r="25" spans="1:11" x14ac:dyDescent="0.25">
      <c r="A25" s="48" t="s">
        <v>764</v>
      </c>
      <c r="B25" s="48" t="s">
        <v>741</v>
      </c>
      <c r="C25" s="55" t="s">
        <v>742</v>
      </c>
      <c r="D25" s="50" t="s">
        <v>743</v>
      </c>
      <c r="E25" s="50" t="s">
        <v>765</v>
      </c>
      <c r="F25" s="51">
        <v>45463</v>
      </c>
      <c r="G25" s="50">
        <v>2024</v>
      </c>
      <c r="H25" s="53" t="s">
        <v>766</v>
      </c>
      <c r="I25" s="53" t="s">
        <v>767</v>
      </c>
      <c r="J25" s="53" t="s">
        <v>758</v>
      </c>
      <c r="K25" s="54">
        <v>1</v>
      </c>
    </row>
    <row r="26" spans="1:11" x14ac:dyDescent="0.25">
      <c r="A26" s="48" t="s">
        <v>73</v>
      </c>
      <c r="B26" s="48" t="s">
        <v>741</v>
      </c>
      <c r="C26" s="55" t="s">
        <v>742</v>
      </c>
      <c r="D26" s="50" t="s">
        <v>743</v>
      </c>
      <c r="E26" s="50" t="s">
        <v>770</v>
      </c>
      <c r="F26" s="51">
        <v>45496</v>
      </c>
      <c r="G26" s="50">
        <v>2024</v>
      </c>
      <c r="H26" s="53" t="s">
        <v>771</v>
      </c>
      <c r="I26" s="53" t="s">
        <v>772</v>
      </c>
      <c r="J26" s="53" t="s">
        <v>758</v>
      </c>
      <c r="K26" s="54">
        <v>1</v>
      </c>
    </row>
    <row r="27" spans="1:11" x14ac:dyDescent="0.25">
      <c r="A27" s="48" t="s">
        <v>748</v>
      </c>
      <c r="B27" s="48" t="s">
        <v>741</v>
      </c>
      <c r="C27" s="55" t="s">
        <v>742</v>
      </c>
      <c r="D27" s="50" t="s">
        <v>743</v>
      </c>
      <c r="E27" s="50" t="s">
        <v>770</v>
      </c>
      <c r="F27" s="51">
        <v>45496</v>
      </c>
      <c r="G27" s="50">
        <v>2024</v>
      </c>
      <c r="H27" s="53" t="s">
        <v>771</v>
      </c>
      <c r="I27" s="53" t="s">
        <v>772</v>
      </c>
      <c r="J27" s="53" t="s">
        <v>758</v>
      </c>
      <c r="K27" s="54">
        <v>1</v>
      </c>
    </row>
    <row r="28" spans="1:11" x14ac:dyDescent="0.25">
      <c r="A28" s="48" t="s">
        <v>760</v>
      </c>
      <c r="B28" s="48" t="s">
        <v>741</v>
      </c>
      <c r="C28" s="55" t="s">
        <v>742</v>
      </c>
      <c r="D28" s="50" t="s">
        <v>743</v>
      </c>
      <c r="E28" s="50" t="s">
        <v>770</v>
      </c>
      <c r="F28" s="51">
        <v>45496</v>
      </c>
      <c r="G28" s="50">
        <v>2024</v>
      </c>
      <c r="H28" s="53" t="s">
        <v>771</v>
      </c>
      <c r="I28" s="53" t="s">
        <v>772</v>
      </c>
      <c r="J28" s="53" t="s">
        <v>758</v>
      </c>
      <c r="K28" s="54">
        <v>1</v>
      </c>
    </row>
    <row r="29" spans="1:11" x14ac:dyDescent="0.25">
      <c r="A29" s="48" t="s">
        <v>56</v>
      </c>
      <c r="B29" s="48" t="s">
        <v>741</v>
      </c>
      <c r="C29" s="55" t="s">
        <v>742</v>
      </c>
      <c r="D29" s="50" t="s">
        <v>743</v>
      </c>
      <c r="E29" s="50" t="s">
        <v>770</v>
      </c>
      <c r="F29" s="51">
        <v>45496</v>
      </c>
      <c r="G29" s="50">
        <v>2024</v>
      </c>
      <c r="H29" s="53" t="s">
        <v>771</v>
      </c>
      <c r="I29" s="53" t="s">
        <v>772</v>
      </c>
      <c r="J29" s="53" t="s">
        <v>758</v>
      </c>
      <c r="K29" s="54">
        <v>1</v>
      </c>
    </row>
    <row r="30" spans="1:11" x14ac:dyDescent="0.25">
      <c r="A30" s="48" t="s">
        <v>768</v>
      </c>
      <c r="B30" s="48" t="s">
        <v>741</v>
      </c>
      <c r="C30" s="55" t="s">
        <v>742</v>
      </c>
      <c r="D30" s="50" t="s">
        <v>743</v>
      </c>
      <c r="E30" s="50" t="s">
        <v>770</v>
      </c>
      <c r="F30" s="51">
        <v>45496</v>
      </c>
      <c r="G30" s="50">
        <v>2024</v>
      </c>
      <c r="H30" s="53" t="s">
        <v>771</v>
      </c>
      <c r="I30" s="53" t="s">
        <v>772</v>
      </c>
      <c r="J30" s="53" t="s">
        <v>758</v>
      </c>
      <c r="K30" s="54">
        <v>1</v>
      </c>
    </row>
    <row r="31" spans="1:11" x14ac:dyDescent="0.25">
      <c r="A31" s="48" t="s">
        <v>764</v>
      </c>
      <c r="B31" s="48" t="s">
        <v>741</v>
      </c>
      <c r="C31" s="55" t="s">
        <v>742</v>
      </c>
      <c r="D31" s="50" t="s">
        <v>743</v>
      </c>
      <c r="E31" s="50" t="s">
        <v>770</v>
      </c>
      <c r="F31" s="51">
        <v>45496</v>
      </c>
      <c r="G31" s="50">
        <v>2024</v>
      </c>
      <c r="H31" s="53" t="s">
        <v>771</v>
      </c>
      <c r="I31" s="53" t="s">
        <v>772</v>
      </c>
      <c r="J31" s="53" t="s">
        <v>758</v>
      </c>
      <c r="K31" s="54">
        <v>1</v>
      </c>
    </row>
    <row r="32" spans="1:11" x14ac:dyDescent="0.25">
      <c r="A32" s="48" t="s">
        <v>773</v>
      </c>
      <c r="B32" s="48" t="s">
        <v>741</v>
      </c>
      <c r="C32" s="55" t="s">
        <v>742</v>
      </c>
      <c r="D32" s="50" t="s">
        <v>743</v>
      </c>
      <c r="E32" s="56" t="s">
        <v>774</v>
      </c>
      <c r="F32" s="51">
        <v>45525</v>
      </c>
      <c r="G32" s="50">
        <v>2024</v>
      </c>
      <c r="H32" s="53" t="s">
        <v>775</v>
      </c>
      <c r="I32" s="53" t="s">
        <v>776</v>
      </c>
      <c r="J32" s="53" t="s">
        <v>758</v>
      </c>
      <c r="K32" s="54">
        <v>1</v>
      </c>
    </row>
    <row r="33" spans="1:11" x14ac:dyDescent="0.25">
      <c r="A33" s="48" t="s">
        <v>73</v>
      </c>
      <c r="B33" s="48" t="s">
        <v>741</v>
      </c>
      <c r="C33" s="55" t="s">
        <v>742</v>
      </c>
      <c r="D33" s="50" t="s">
        <v>743</v>
      </c>
      <c r="E33" s="56" t="s">
        <v>774</v>
      </c>
      <c r="F33" s="51">
        <v>45525</v>
      </c>
      <c r="G33" s="50">
        <v>2024</v>
      </c>
      <c r="H33" s="53" t="s">
        <v>775</v>
      </c>
      <c r="I33" s="53" t="s">
        <v>776</v>
      </c>
      <c r="J33" s="53" t="s">
        <v>758</v>
      </c>
      <c r="K33" s="54">
        <v>1</v>
      </c>
    </row>
    <row r="34" spans="1:11" x14ac:dyDescent="0.25">
      <c r="A34" s="48" t="s">
        <v>769</v>
      </c>
      <c r="B34" s="48" t="s">
        <v>741</v>
      </c>
      <c r="C34" s="55" t="s">
        <v>742</v>
      </c>
      <c r="D34" s="50" t="s">
        <v>743</v>
      </c>
      <c r="E34" s="56" t="s">
        <v>774</v>
      </c>
      <c r="F34" s="51">
        <v>45525</v>
      </c>
      <c r="G34" s="50">
        <v>2024</v>
      </c>
      <c r="H34" s="53" t="s">
        <v>775</v>
      </c>
      <c r="I34" s="53" t="s">
        <v>776</v>
      </c>
      <c r="J34" s="53" t="s">
        <v>758</v>
      </c>
      <c r="K34" s="54">
        <v>1</v>
      </c>
    </row>
    <row r="35" spans="1:11" x14ac:dyDescent="0.25">
      <c r="A35" s="48" t="s">
        <v>760</v>
      </c>
      <c r="B35" s="48" t="s">
        <v>741</v>
      </c>
      <c r="C35" s="55" t="s">
        <v>742</v>
      </c>
      <c r="D35" s="50" t="s">
        <v>743</v>
      </c>
      <c r="E35" s="56" t="s">
        <v>774</v>
      </c>
      <c r="F35" s="51">
        <v>45525</v>
      </c>
      <c r="G35" s="50">
        <v>2024</v>
      </c>
      <c r="H35" s="53" t="s">
        <v>775</v>
      </c>
      <c r="I35" s="53" t="s">
        <v>776</v>
      </c>
      <c r="J35" s="53" t="s">
        <v>758</v>
      </c>
      <c r="K35" s="54">
        <v>1</v>
      </c>
    </row>
    <row r="36" spans="1:11" x14ac:dyDescent="0.25">
      <c r="A36" s="48" t="s">
        <v>56</v>
      </c>
      <c r="B36" s="48" t="s">
        <v>741</v>
      </c>
      <c r="C36" s="55" t="s">
        <v>742</v>
      </c>
      <c r="D36" s="50" t="s">
        <v>743</v>
      </c>
      <c r="E36" s="56" t="s">
        <v>774</v>
      </c>
      <c r="F36" s="51">
        <v>45525</v>
      </c>
      <c r="G36" s="50">
        <v>2024</v>
      </c>
      <c r="H36" s="53" t="s">
        <v>775</v>
      </c>
      <c r="I36" s="53" t="s">
        <v>776</v>
      </c>
      <c r="J36" s="53" t="s">
        <v>758</v>
      </c>
      <c r="K36" s="54">
        <v>1</v>
      </c>
    </row>
    <row r="37" spans="1:11" x14ac:dyDescent="0.25">
      <c r="A37" s="48" t="s">
        <v>768</v>
      </c>
      <c r="B37" s="48" t="s">
        <v>741</v>
      </c>
      <c r="C37" s="55" t="s">
        <v>742</v>
      </c>
      <c r="D37" s="50" t="s">
        <v>743</v>
      </c>
      <c r="E37" s="56" t="s">
        <v>774</v>
      </c>
      <c r="F37" s="51">
        <v>45525</v>
      </c>
      <c r="G37" s="50">
        <v>2024</v>
      </c>
      <c r="H37" s="53" t="s">
        <v>775</v>
      </c>
      <c r="I37" s="53" t="s">
        <v>776</v>
      </c>
      <c r="J37" s="53" t="s">
        <v>758</v>
      </c>
      <c r="K37" s="54">
        <v>1</v>
      </c>
    </row>
    <row r="38" spans="1:11" x14ac:dyDescent="0.25">
      <c r="A38" s="48" t="s">
        <v>43</v>
      </c>
      <c r="B38" s="48" t="s">
        <v>741</v>
      </c>
      <c r="C38" s="55" t="s">
        <v>742</v>
      </c>
      <c r="D38" s="50" t="s">
        <v>743</v>
      </c>
      <c r="E38" s="56" t="s">
        <v>774</v>
      </c>
      <c r="F38" s="51">
        <v>45525</v>
      </c>
      <c r="G38" s="50">
        <v>2024</v>
      </c>
      <c r="H38" s="53" t="s">
        <v>775</v>
      </c>
      <c r="I38" s="53" t="s">
        <v>776</v>
      </c>
      <c r="J38" s="53" t="s">
        <v>758</v>
      </c>
      <c r="K38" s="54">
        <v>1</v>
      </c>
    </row>
    <row r="39" spans="1:11" x14ac:dyDescent="0.25">
      <c r="A39" s="48" t="s">
        <v>764</v>
      </c>
      <c r="B39" s="48" t="s">
        <v>741</v>
      </c>
      <c r="C39" s="55" t="s">
        <v>742</v>
      </c>
      <c r="D39" s="50" t="s">
        <v>743</v>
      </c>
      <c r="E39" s="56" t="s">
        <v>774</v>
      </c>
      <c r="F39" s="51">
        <v>45525</v>
      </c>
      <c r="G39" s="50">
        <v>2024</v>
      </c>
      <c r="H39" s="53" t="s">
        <v>775</v>
      </c>
      <c r="I39" s="53" t="s">
        <v>776</v>
      </c>
      <c r="J39" s="53" t="s">
        <v>758</v>
      </c>
      <c r="K39" s="54">
        <v>1</v>
      </c>
    </row>
    <row r="40" spans="1:11" x14ac:dyDescent="0.25">
      <c r="A40" s="48" t="s">
        <v>30</v>
      </c>
      <c r="B40" s="48" t="s">
        <v>741</v>
      </c>
      <c r="C40" s="49" t="s">
        <v>742</v>
      </c>
      <c r="D40" s="50" t="s">
        <v>743</v>
      </c>
      <c r="E40" s="48" t="s">
        <v>777</v>
      </c>
      <c r="F40" s="51">
        <v>45538</v>
      </c>
      <c r="G40" s="52">
        <v>2024</v>
      </c>
      <c r="H40" s="53" t="s">
        <v>778</v>
      </c>
      <c r="I40" s="53" t="s">
        <v>779</v>
      </c>
      <c r="J40" s="53" t="s">
        <v>756</v>
      </c>
      <c r="K40" s="54">
        <v>1</v>
      </c>
    </row>
    <row r="41" spans="1:11" ht="22.5" x14ac:dyDescent="0.25">
      <c r="A41" s="48" t="s">
        <v>59</v>
      </c>
      <c r="B41" s="48" t="s">
        <v>741</v>
      </c>
      <c r="C41" s="49" t="s">
        <v>742</v>
      </c>
      <c r="D41" s="50" t="s">
        <v>743</v>
      </c>
      <c r="E41" s="48" t="s">
        <v>777</v>
      </c>
      <c r="F41" s="51">
        <v>45548</v>
      </c>
      <c r="G41" s="52">
        <v>2024</v>
      </c>
      <c r="H41" s="53" t="s">
        <v>780</v>
      </c>
      <c r="I41" s="53" t="s">
        <v>781</v>
      </c>
      <c r="J41" s="53" t="s">
        <v>758</v>
      </c>
      <c r="K41" s="54">
        <v>1</v>
      </c>
    </row>
    <row r="42" spans="1:11" x14ac:dyDescent="0.25">
      <c r="A42" s="48" t="s">
        <v>782</v>
      </c>
      <c r="B42" s="48" t="s">
        <v>741</v>
      </c>
      <c r="C42" s="55" t="s">
        <v>742</v>
      </c>
      <c r="D42" s="50" t="s">
        <v>743</v>
      </c>
      <c r="E42" s="48" t="s">
        <v>777</v>
      </c>
      <c r="F42" s="51">
        <v>45554</v>
      </c>
      <c r="G42" s="50">
        <v>2024</v>
      </c>
      <c r="H42" s="53" t="s">
        <v>783</v>
      </c>
      <c r="I42" s="53" t="s">
        <v>779</v>
      </c>
      <c r="J42" s="53" t="s">
        <v>758</v>
      </c>
      <c r="K42" s="54">
        <v>1</v>
      </c>
    </row>
    <row r="43" spans="1:11" x14ac:dyDescent="0.25">
      <c r="A43" s="48" t="s">
        <v>773</v>
      </c>
      <c r="B43" s="48" t="s">
        <v>741</v>
      </c>
      <c r="C43" s="55" t="s">
        <v>742</v>
      </c>
      <c r="D43" s="50" t="s">
        <v>743</v>
      </c>
      <c r="E43" s="48" t="s">
        <v>777</v>
      </c>
      <c r="F43" s="51">
        <v>45554</v>
      </c>
      <c r="G43" s="50">
        <v>2024</v>
      </c>
      <c r="H43" s="53" t="s">
        <v>783</v>
      </c>
      <c r="I43" s="53" t="s">
        <v>779</v>
      </c>
      <c r="J43" s="53" t="s">
        <v>758</v>
      </c>
      <c r="K43" s="54">
        <v>1</v>
      </c>
    </row>
    <row r="44" spans="1:11" x14ac:dyDescent="0.25">
      <c r="A44" s="48" t="s">
        <v>73</v>
      </c>
      <c r="B44" s="48" t="s">
        <v>741</v>
      </c>
      <c r="C44" s="55" t="s">
        <v>742</v>
      </c>
      <c r="D44" s="50" t="s">
        <v>743</v>
      </c>
      <c r="E44" s="48" t="s">
        <v>777</v>
      </c>
      <c r="F44" s="51">
        <v>45554</v>
      </c>
      <c r="G44" s="50">
        <v>2024</v>
      </c>
      <c r="H44" s="53" t="s">
        <v>783</v>
      </c>
      <c r="I44" s="53" t="s">
        <v>779</v>
      </c>
      <c r="J44" s="53" t="s">
        <v>758</v>
      </c>
      <c r="K44" s="54">
        <v>1</v>
      </c>
    </row>
    <row r="45" spans="1:11" x14ac:dyDescent="0.25">
      <c r="A45" s="48" t="s">
        <v>784</v>
      </c>
      <c r="B45" s="48" t="s">
        <v>741</v>
      </c>
      <c r="C45" s="55" t="s">
        <v>742</v>
      </c>
      <c r="D45" s="50" t="s">
        <v>743</v>
      </c>
      <c r="E45" s="48" t="s">
        <v>777</v>
      </c>
      <c r="F45" s="51">
        <v>45554</v>
      </c>
      <c r="G45" s="50">
        <v>2024</v>
      </c>
      <c r="H45" s="53" t="s">
        <v>783</v>
      </c>
      <c r="I45" s="53" t="s">
        <v>779</v>
      </c>
      <c r="J45" s="53" t="s">
        <v>758</v>
      </c>
      <c r="K45" s="54">
        <v>1</v>
      </c>
    </row>
    <row r="46" spans="1:11" x14ac:dyDescent="0.25">
      <c r="A46" s="48" t="s">
        <v>785</v>
      </c>
      <c r="B46" s="48" t="s">
        <v>741</v>
      </c>
      <c r="C46" s="55" t="s">
        <v>742</v>
      </c>
      <c r="D46" s="50" t="s">
        <v>743</v>
      </c>
      <c r="E46" s="48" t="s">
        <v>777</v>
      </c>
      <c r="F46" s="51">
        <v>45554</v>
      </c>
      <c r="G46" s="50">
        <v>2024</v>
      </c>
      <c r="H46" s="53" t="s">
        <v>783</v>
      </c>
      <c r="I46" s="53" t="s">
        <v>779</v>
      </c>
      <c r="J46" s="53" t="s">
        <v>758</v>
      </c>
      <c r="K46" s="54">
        <v>1</v>
      </c>
    </row>
    <row r="47" spans="1:11" x14ac:dyDescent="0.25">
      <c r="A47" s="48" t="s">
        <v>760</v>
      </c>
      <c r="B47" s="48" t="s">
        <v>741</v>
      </c>
      <c r="C47" s="55" t="s">
        <v>742</v>
      </c>
      <c r="D47" s="50" t="s">
        <v>743</v>
      </c>
      <c r="E47" s="48" t="s">
        <v>777</v>
      </c>
      <c r="F47" s="51">
        <v>45554</v>
      </c>
      <c r="G47" s="50">
        <v>2024</v>
      </c>
      <c r="H47" s="53" t="s">
        <v>783</v>
      </c>
      <c r="I47" s="53" t="s">
        <v>779</v>
      </c>
      <c r="J47" s="53" t="s">
        <v>758</v>
      </c>
      <c r="K47" s="54">
        <v>1</v>
      </c>
    </row>
    <row r="48" spans="1:11" x14ac:dyDescent="0.25">
      <c r="A48" s="48" t="s">
        <v>768</v>
      </c>
      <c r="B48" s="48" t="s">
        <v>741</v>
      </c>
      <c r="C48" s="55" t="s">
        <v>742</v>
      </c>
      <c r="D48" s="50" t="s">
        <v>743</v>
      </c>
      <c r="E48" s="48" t="s">
        <v>777</v>
      </c>
      <c r="F48" s="51">
        <v>45554</v>
      </c>
      <c r="G48" s="50">
        <v>2024</v>
      </c>
      <c r="H48" s="53" t="s">
        <v>783</v>
      </c>
      <c r="I48" s="53" t="s">
        <v>779</v>
      </c>
      <c r="J48" s="53" t="s">
        <v>758</v>
      </c>
      <c r="K48" s="54">
        <v>1</v>
      </c>
    </row>
    <row r="49" spans="1:11" x14ac:dyDescent="0.25">
      <c r="A49" s="48" t="s">
        <v>43</v>
      </c>
      <c r="B49" s="48" t="s">
        <v>741</v>
      </c>
      <c r="C49" s="55" t="s">
        <v>742</v>
      </c>
      <c r="D49" s="50" t="s">
        <v>743</v>
      </c>
      <c r="E49" s="48" t="s">
        <v>777</v>
      </c>
      <c r="F49" s="51">
        <v>45554</v>
      </c>
      <c r="G49" s="50">
        <v>2024</v>
      </c>
      <c r="H49" s="53" t="s">
        <v>783</v>
      </c>
      <c r="I49" s="53" t="s">
        <v>779</v>
      </c>
      <c r="J49" s="53" t="s">
        <v>758</v>
      </c>
      <c r="K49" s="54">
        <v>1</v>
      </c>
    </row>
    <row r="50" spans="1:11" x14ac:dyDescent="0.25">
      <c r="A50" s="48" t="s">
        <v>89</v>
      </c>
      <c r="B50" s="48" t="s">
        <v>741</v>
      </c>
      <c r="C50" s="55" t="s">
        <v>742</v>
      </c>
      <c r="D50" s="50" t="s">
        <v>743</v>
      </c>
      <c r="E50" s="48" t="s">
        <v>777</v>
      </c>
      <c r="F50" s="51">
        <v>45554</v>
      </c>
      <c r="G50" s="50">
        <v>2024</v>
      </c>
      <c r="H50" s="53" t="s">
        <v>783</v>
      </c>
      <c r="I50" s="53" t="s">
        <v>779</v>
      </c>
      <c r="J50" s="53" t="s">
        <v>758</v>
      </c>
      <c r="K50" s="54">
        <v>1</v>
      </c>
    </row>
    <row r="51" spans="1:11" x14ac:dyDescent="0.25">
      <c r="A51" s="48" t="s">
        <v>769</v>
      </c>
      <c r="B51" s="48" t="s">
        <v>741</v>
      </c>
      <c r="C51" s="55" t="s">
        <v>742</v>
      </c>
      <c r="D51" s="50" t="s">
        <v>743</v>
      </c>
      <c r="E51" s="48" t="s">
        <v>777</v>
      </c>
      <c r="F51" s="51">
        <v>45554</v>
      </c>
      <c r="G51" s="50">
        <v>2024</v>
      </c>
      <c r="H51" s="53" t="s">
        <v>783</v>
      </c>
      <c r="I51" s="53" t="s">
        <v>779</v>
      </c>
      <c r="J51" s="53" t="s">
        <v>758</v>
      </c>
      <c r="K51" s="54">
        <v>1</v>
      </c>
    </row>
    <row r="52" spans="1:11" x14ac:dyDescent="0.25">
      <c r="A52" s="48" t="s">
        <v>786</v>
      </c>
      <c r="B52" s="48" t="s">
        <v>741</v>
      </c>
      <c r="C52" s="55" t="s">
        <v>742</v>
      </c>
      <c r="D52" s="50" t="s">
        <v>743</v>
      </c>
      <c r="E52" s="48" t="s">
        <v>777</v>
      </c>
      <c r="F52" s="51">
        <v>45554</v>
      </c>
      <c r="G52" s="50">
        <v>2024</v>
      </c>
      <c r="H52" s="53" t="s">
        <v>783</v>
      </c>
      <c r="I52" s="53" t="s">
        <v>779</v>
      </c>
      <c r="J52" s="53" t="s">
        <v>758</v>
      </c>
      <c r="K52" s="54">
        <v>1</v>
      </c>
    </row>
    <row r="53" spans="1:11" x14ac:dyDescent="0.25">
      <c r="A53" s="48" t="s">
        <v>764</v>
      </c>
      <c r="B53" s="48" t="s">
        <v>741</v>
      </c>
      <c r="C53" s="55" t="s">
        <v>742</v>
      </c>
      <c r="D53" s="50" t="s">
        <v>743</v>
      </c>
      <c r="E53" s="48" t="s">
        <v>777</v>
      </c>
      <c r="F53" s="51">
        <v>45554</v>
      </c>
      <c r="G53" s="50">
        <v>2024</v>
      </c>
      <c r="H53" s="53" t="s">
        <v>783</v>
      </c>
      <c r="I53" s="53" t="s">
        <v>779</v>
      </c>
      <c r="J53" s="53" t="s">
        <v>758</v>
      </c>
      <c r="K53" s="54">
        <v>1</v>
      </c>
    </row>
    <row r="54" spans="1:11" x14ac:dyDescent="0.25">
      <c r="A54" s="48" t="s">
        <v>782</v>
      </c>
      <c r="B54" s="48" t="s">
        <v>741</v>
      </c>
      <c r="C54" s="55" t="s">
        <v>742</v>
      </c>
      <c r="D54" s="50" t="s">
        <v>743</v>
      </c>
      <c r="E54" s="48" t="s">
        <v>787</v>
      </c>
      <c r="F54" s="51">
        <v>45593</v>
      </c>
      <c r="G54" s="50">
        <v>2024</v>
      </c>
      <c r="H54" s="53" t="s">
        <v>788</v>
      </c>
      <c r="I54" s="57" t="s">
        <v>789</v>
      </c>
      <c r="J54" s="53" t="s">
        <v>758</v>
      </c>
      <c r="K54" s="54">
        <v>1</v>
      </c>
    </row>
    <row r="55" spans="1:11" x14ac:dyDescent="0.25">
      <c r="A55" s="48" t="s">
        <v>773</v>
      </c>
      <c r="B55" s="48" t="s">
        <v>741</v>
      </c>
      <c r="C55" s="55" t="s">
        <v>742</v>
      </c>
      <c r="D55" s="50" t="s">
        <v>743</v>
      </c>
      <c r="E55" s="48" t="s">
        <v>787</v>
      </c>
      <c r="F55" s="51">
        <v>45593</v>
      </c>
      <c r="G55" s="50">
        <v>2024</v>
      </c>
      <c r="H55" s="53" t="s">
        <v>788</v>
      </c>
      <c r="I55" s="57" t="s">
        <v>789</v>
      </c>
      <c r="J55" s="53" t="s">
        <v>758</v>
      </c>
      <c r="K55" s="54">
        <v>1</v>
      </c>
    </row>
    <row r="56" spans="1:11" x14ac:dyDescent="0.25">
      <c r="A56" s="48" t="s">
        <v>73</v>
      </c>
      <c r="B56" s="48" t="s">
        <v>741</v>
      </c>
      <c r="C56" s="55" t="s">
        <v>742</v>
      </c>
      <c r="D56" s="50" t="s">
        <v>743</v>
      </c>
      <c r="E56" s="48" t="s">
        <v>787</v>
      </c>
      <c r="F56" s="51">
        <v>45593</v>
      </c>
      <c r="G56" s="50">
        <v>2024</v>
      </c>
      <c r="H56" s="53" t="s">
        <v>788</v>
      </c>
      <c r="I56" s="57" t="s">
        <v>789</v>
      </c>
      <c r="J56" s="53" t="s">
        <v>758</v>
      </c>
      <c r="K56" s="54">
        <v>1</v>
      </c>
    </row>
    <row r="57" spans="1:11" x14ac:dyDescent="0.25">
      <c r="A57" s="48" t="s">
        <v>784</v>
      </c>
      <c r="B57" s="48" t="s">
        <v>741</v>
      </c>
      <c r="C57" s="55" t="s">
        <v>742</v>
      </c>
      <c r="D57" s="50" t="s">
        <v>743</v>
      </c>
      <c r="E57" s="48" t="s">
        <v>787</v>
      </c>
      <c r="F57" s="51">
        <v>45593</v>
      </c>
      <c r="G57" s="50">
        <v>2024</v>
      </c>
      <c r="H57" s="53" t="s">
        <v>788</v>
      </c>
      <c r="I57" s="57" t="s">
        <v>789</v>
      </c>
      <c r="J57" s="53" t="s">
        <v>758</v>
      </c>
      <c r="K57" s="54">
        <v>1</v>
      </c>
    </row>
    <row r="58" spans="1:11" x14ac:dyDescent="0.25">
      <c r="A58" s="48" t="s">
        <v>785</v>
      </c>
      <c r="B58" s="48" t="s">
        <v>741</v>
      </c>
      <c r="C58" s="55" t="s">
        <v>742</v>
      </c>
      <c r="D58" s="50" t="s">
        <v>743</v>
      </c>
      <c r="E58" s="48" t="s">
        <v>787</v>
      </c>
      <c r="F58" s="51">
        <v>45593</v>
      </c>
      <c r="G58" s="50">
        <v>2024</v>
      </c>
      <c r="H58" s="53" t="s">
        <v>788</v>
      </c>
      <c r="I58" s="57" t="s">
        <v>789</v>
      </c>
      <c r="J58" s="53" t="s">
        <v>758</v>
      </c>
      <c r="K58" s="54">
        <v>1</v>
      </c>
    </row>
    <row r="59" spans="1:11" x14ac:dyDescent="0.25">
      <c r="A59" s="48" t="s">
        <v>30</v>
      </c>
      <c r="B59" s="48" t="s">
        <v>741</v>
      </c>
      <c r="C59" s="55" t="s">
        <v>742</v>
      </c>
      <c r="D59" s="50" t="s">
        <v>743</v>
      </c>
      <c r="E59" s="48" t="s">
        <v>787</v>
      </c>
      <c r="F59" s="51">
        <v>45593</v>
      </c>
      <c r="G59" s="50">
        <v>2024</v>
      </c>
      <c r="H59" s="53" t="s">
        <v>788</v>
      </c>
      <c r="I59" s="57" t="s">
        <v>789</v>
      </c>
      <c r="J59" s="53" t="s">
        <v>758</v>
      </c>
      <c r="K59" s="54">
        <v>1</v>
      </c>
    </row>
    <row r="60" spans="1:11" x14ac:dyDescent="0.25">
      <c r="A60" s="48" t="s">
        <v>59</v>
      </c>
      <c r="B60" s="48" t="s">
        <v>741</v>
      </c>
      <c r="C60" s="55" t="s">
        <v>742</v>
      </c>
      <c r="D60" s="50" t="s">
        <v>743</v>
      </c>
      <c r="E60" s="48" t="s">
        <v>787</v>
      </c>
      <c r="F60" s="51">
        <v>45593</v>
      </c>
      <c r="G60" s="50">
        <v>2024</v>
      </c>
      <c r="H60" s="53" t="s">
        <v>788</v>
      </c>
      <c r="I60" s="57" t="s">
        <v>789</v>
      </c>
      <c r="J60" s="53" t="s">
        <v>758</v>
      </c>
      <c r="K60" s="54">
        <v>1</v>
      </c>
    </row>
    <row r="61" spans="1:11" x14ac:dyDescent="0.25">
      <c r="A61" s="48" t="s">
        <v>760</v>
      </c>
      <c r="B61" s="48" t="s">
        <v>741</v>
      </c>
      <c r="C61" s="55" t="s">
        <v>742</v>
      </c>
      <c r="D61" s="50" t="s">
        <v>743</v>
      </c>
      <c r="E61" s="48" t="s">
        <v>787</v>
      </c>
      <c r="F61" s="51">
        <v>45593</v>
      </c>
      <c r="G61" s="50">
        <v>2024</v>
      </c>
      <c r="H61" s="53" t="s">
        <v>788</v>
      </c>
      <c r="I61" s="57" t="s">
        <v>789</v>
      </c>
      <c r="J61" s="53" t="s">
        <v>758</v>
      </c>
      <c r="K61" s="54">
        <v>1</v>
      </c>
    </row>
    <row r="62" spans="1:11" x14ac:dyDescent="0.25">
      <c r="A62" s="48" t="s">
        <v>43</v>
      </c>
      <c r="B62" s="48" t="s">
        <v>741</v>
      </c>
      <c r="C62" s="55" t="s">
        <v>742</v>
      </c>
      <c r="D62" s="50" t="s">
        <v>743</v>
      </c>
      <c r="E62" s="48" t="s">
        <v>787</v>
      </c>
      <c r="F62" s="51">
        <v>45593</v>
      </c>
      <c r="G62" s="50">
        <v>2024</v>
      </c>
      <c r="H62" s="53" t="s">
        <v>788</v>
      </c>
      <c r="I62" s="57" t="s">
        <v>789</v>
      </c>
      <c r="J62" s="53" t="s">
        <v>758</v>
      </c>
      <c r="K62" s="54">
        <v>1</v>
      </c>
    </row>
    <row r="63" spans="1:11" x14ac:dyDescent="0.25">
      <c r="A63" s="48" t="s">
        <v>790</v>
      </c>
      <c r="B63" s="48" t="s">
        <v>741</v>
      </c>
      <c r="C63" s="55" t="s">
        <v>742</v>
      </c>
      <c r="D63" s="50" t="s">
        <v>743</v>
      </c>
      <c r="E63" s="48" t="s">
        <v>787</v>
      </c>
      <c r="F63" s="51">
        <v>45593</v>
      </c>
      <c r="G63" s="50">
        <v>2024</v>
      </c>
      <c r="H63" s="53" t="s">
        <v>788</v>
      </c>
      <c r="I63" s="57" t="s">
        <v>789</v>
      </c>
      <c r="J63" s="53" t="s">
        <v>758</v>
      </c>
      <c r="K63" s="54">
        <v>1</v>
      </c>
    </row>
    <row r="64" spans="1:11" x14ac:dyDescent="0.25">
      <c r="A64" s="48" t="s">
        <v>89</v>
      </c>
      <c r="B64" s="48" t="s">
        <v>741</v>
      </c>
      <c r="C64" s="55" t="s">
        <v>742</v>
      </c>
      <c r="D64" s="50" t="s">
        <v>743</v>
      </c>
      <c r="E64" s="48" t="s">
        <v>787</v>
      </c>
      <c r="F64" s="51">
        <v>45593</v>
      </c>
      <c r="G64" s="50">
        <v>2024</v>
      </c>
      <c r="H64" s="53" t="s">
        <v>788</v>
      </c>
      <c r="I64" s="57" t="s">
        <v>789</v>
      </c>
      <c r="J64" s="53" t="s">
        <v>758</v>
      </c>
      <c r="K64" s="54">
        <v>1</v>
      </c>
    </row>
    <row r="65" spans="1:11" x14ac:dyDescent="0.25">
      <c r="A65" s="48" t="s">
        <v>769</v>
      </c>
      <c r="B65" s="48" t="s">
        <v>741</v>
      </c>
      <c r="C65" s="55" t="s">
        <v>742</v>
      </c>
      <c r="D65" s="50" t="s">
        <v>743</v>
      </c>
      <c r="E65" s="48" t="s">
        <v>787</v>
      </c>
      <c r="F65" s="51">
        <v>45593</v>
      </c>
      <c r="G65" s="50">
        <v>2024</v>
      </c>
      <c r="H65" s="53" t="s">
        <v>788</v>
      </c>
      <c r="I65" s="57" t="s">
        <v>789</v>
      </c>
      <c r="J65" s="53" t="s">
        <v>758</v>
      </c>
      <c r="K65" s="54">
        <v>1</v>
      </c>
    </row>
    <row r="66" spans="1:11" x14ac:dyDescent="0.25">
      <c r="A66" s="48" t="s">
        <v>786</v>
      </c>
      <c r="B66" s="48" t="s">
        <v>741</v>
      </c>
      <c r="C66" s="55" t="s">
        <v>742</v>
      </c>
      <c r="D66" s="50" t="s">
        <v>743</v>
      </c>
      <c r="E66" s="48" t="s">
        <v>787</v>
      </c>
      <c r="F66" s="51">
        <v>45593</v>
      </c>
      <c r="G66" s="50">
        <v>2024</v>
      </c>
      <c r="H66" s="53" t="s">
        <v>788</v>
      </c>
      <c r="I66" s="57" t="s">
        <v>789</v>
      </c>
      <c r="J66" s="53" t="s">
        <v>758</v>
      </c>
      <c r="K66" s="54">
        <v>1</v>
      </c>
    </row>
    <row r="67" spans="1:11" x14ac:dyDescent="0.25">
      <c r="A67" s="48" t="s">
        <v>764</v>
      </c>
      <c r="B67" s="48" t="s">
        <v>741</v>
      </c>
      <c r="C67" s="55" t="s">
        <v>742</v>
      </c>
      <c r="D67" s="50" t="s">
        <v>743</v>
      </c>
      <c r="E67" s="48" t="s">
        <v>787</v>
      </c>
      <c r="F67" s="51">
        <v>45593</v>
      </c>
      <c r="G67" s="50">
        <v>2024</v>
      </c>
      <c r="H67" s="53" t="s">
        <v>788</v>
      </c>
      <c r="I67" s="57" t="s">
        <v>789</v>
      </c>
      <c r="J67" s="53" t="s">
        <v>758</v>
      </c>
      <c r="K67" s="54">
        <v>1</v>
      </c>
    </row>
    <row r="68" spans="1:11" x14ac:dyDescent="0.25">
      <c r="A68" s="48" t="s">
        <v>782</v>
      </c>
      <c r="B68" s="48" t="s">
        <v>741</v>
      </c>
      <c r="C68" s="55" t="s">
        <v>742</v>
      </c>
      <c r="D68" s="50" t="s">
        <v>743</v>
      </c>
      <c r="E68" s="48" t="s">
        <v>791</v>
      </c>
      <c r="F68" s="51">
        <v>45617</v>
      </c>
      <c r="G68" s="50">
        <v>2024</v>
      </c>
      <c r="H68" s="53" t="s">
        <v>792</v>
      </c>
      <c r="I68" s="57" t="s">
        <v>793</v>
      </c>
      <c r="J68" s="53" t="s">
        <v>758</v>
      </c>
      <c r="K68" s="54">
        <v>1</v>
      </c>
    </row>
    <row r="69" spans="1:11" x14ac:dyDescent="0.25">
      <c r="A69" s="48" t="s">
        <v>784</v>
      </c>
      <c r="B69" s="48" t="s">
        <v>741</v>
      </c>
      <c r="C69" s="55" t="s">
        <v>742</v>
      </c>
      <c r="D69" s="50" t="s">
        <v>743</v>
      </c>
      <c r="E69" s="48" t="s">
        <v>791</v>
      </c>
      <c r="F69" s="51">
        <v>45617</v>
      </c>
      <c r="G69" s="50">
        <v>2024</v>
      </c>
      <c r="H69" s="53" t="s">
        <v>792</v>
      </c>
      <c r="I69" s="57" t="s">
        <v>793</v>
      </c>
      <c r="J69" s="53" t="s">
        <v>758</v>
      </c>
      <c r="K69" s="54">
        <v>1</v>
      </c>
    </row>
    <row r="70" spans="1:11" x14ac:dyDescent="0.25">
      <c r="A70" s="48" t="s">
        <v>785</v>
      </c>
      <c r="B70" s="48" t="s">
        <v>741</v>
      </c>
      <c r="C70" s="55" t="s">
        <v>742</v>
      </c>
      <c r="D70" s="50" t="s">
        <v>743</v>
      </c>
      <c r="E70" s="48" t="s">
        <v>791</v>
      </c>
      <c r="F70" s="51">
        <v>45617</v>
      </c>
      <c r="G70" s="50">
        <v>2024</v>
      </c>
      <c r="H70" s="53" t="s">
        <v>792</v>
      </c>
      <c r="I70" s="57" t="s">
        <v>793</v>
      </c>
      <c r="J70" s="53" t="s">
        <v>758</v>
      </c>
      <c r="K70" s="54">
        <v>1</v>
      </c>
    </row>
    <row r="71" spans="1:11" x14ac:dyDescent="0.25">
      <c r="A71" s="48" t="s">
        <v>59</v>
      </c>
      <c r="B71" s="48" t="s">
        <v>741</v>
      </c>
      <c r="C71" s="55" t="s">
        <v>742</v>
      </c>
      <c r="D71" s="50" t="s">
        <v>743</v>
      </c>
      <c r="E71" s="48" t="s">
        <v>791</v>
      </c>
      <c r="F71" s="51">
        <v>45617</v>
      </c>
      <c r="G71" s="50">
        <v>2024</v>
      </c>
      <c r="H71" s="53" t="s">
        <v>792</v>
      </c>
      <c r="I71" s="57" t="s">
        <v>793</v>
      </c>
      <c r="J71" s="53" t="s">
        <v>758</v>
      </c>
      <c r="K71" s="54">
        <v>1</v>
      </c>
    </row>
    <row r="72" spans="1:11" x14ac:dyDescent="0.25">
      <c r="A72" s="48" t="s">
        <v>794</v>
      </c>
      <c r="B72" s="48" t="s">
        <v>741</v>
      </c>
      <c r="C72" s="55" t="s">
        <v>742</v>
      </c>
      <c r="D72" s="50" t="s">
        <v>743</v>
      </c>
      <c r="E72" s="48" t="s">
        <v>791</v>
      </c>
      <c r="F72" s="51">
        <v>45617</v>
      </c>
      <c r="G72" s="50">
        <v>2024</v>
      </c>
      <c r="H72" s="53" t="s">
        <v>792</v>
      </c>
      <c r="I72" s="57" t="s">
        <v>793</v>
      </c>
      <c r="J72" s="53" t="s">
        <v>758</v>
      </c>
      <c r="K72" s="54">
        <v>1</v>
      </c>
    </row>
    <row r="73" spans="1:11" x14ac:dyDescent="0.25">
      <c r="A73" s="48" t="s">
        <v>795</v>
      </c>
      <c r="B73" s="48" t="s">
        <v>741</v>
      </c>
      <c r="C73" s="55" t="s">
        <v>742</v>
      </c>
      <c r="D73" s="50" t="s">
        <v>743</v>
      </c>
      <c r="E73" s="48" t="s">
        <v>791</v>
      </c>
      <c r="F73" s="51">
        <v>45617</v>
      </c>
      <c r="G73" s="50">
        <v>2024</v>
      </c>
      <c r="H73" s="53" t="s">
        <v>792</v>
      </c>
      <c r="I73" s="57" t="s">
        <v>793</v>
      </c>
      <c r="J73" s="53" t="s">
        <v>758</v>
      </c>
      <c r="K73" s="54">
        <v>1</v>
      </c>
    </row>
    <row r="74" spans="1:11" x14ac:dyDescent="0.25">
      <c r="A74" s="48" t="s">
        <v>113</v>
      </c>
      <c r="B74" s="48" t="s">
        <v>741</v>
      </c>
      <c r="C74" s="55" t="s">
        <v>742</v>
      </c>
      <c r="D74" s="50" t="s">
        <v>743</v>
      </c>
      <c r="E74" s="48" t="s">
        <v>791</v>
      </c>
      <c r="F74" s="51">
        <v>45617</v>
      </c>
      <c r="G74" s="50">
        <v>2024</v>
      </c>
      <c r="H74" s="53" t="s">
        <v>792</v>
      </c>
      <c r="I74" s="57" t="s">
        <v>793</v>
      </c>
      <c r="J74" s="53" t="s">
        <v>758</v>
      </c>
      <c r="K74" s="54">
        <v>1</v>
      </c>
    </row>
    <row r="75" spans="1:11" x14ac:dyDescent="0.25">
      <c r="A75" s="48" t="s">
        <v>782</v>
      </c>
      <c r="B75" s="48" t="s">
        <v>741</v>
      </c>
      <c r="C75" s="55" t="s">
        <v>742</v>
      </c>
      <c r="D75" s="50" t="s">
        <v>743</v>
      </c>
      <c r="E75" s="48" t="s">
        <v>796</v>
      </c>
      <c r="F75" s="51">
        <v>45646</v>
      </c>
      <c r="G75" s="50">
        <v>2024</v>
      </c>
      <c r="H75" s="53" t="s">
        <v>797</v>
      </c>
      <c r="I75" s="57" t="s">
        <v>798</v>
      </c>
      <c r="J75" s="53" t="s">
        <v>758</v>
      </c>
      <c r="K75" s="54">
        <v>1</v>
      </c>
    </row>
    <row r="76" spans="1:11" x14ac:dyDescent="0.25">
      <c r="A76" s="48" t="s">
        <v>73</v>
      </c>
      <c r="B76" s="48" t="s">
        <v>741</v>
      </c>
      <c r="C76" s="55" t="s">
        <v>742</v>
      </c>
      <c r="D76" s="50" t="s">
        <v>743</v>
      </c>
      <c r="E76" s="48" t="s">
        <v>796</v>
      </c>
      <c r="F76" s="51">
        <v>45646</v>
      </c>
      <c r="G76" s="50">
        <v>2024</v>
      </c>
      <c r="H76" s="53" t="s">
        <v>797</v>
      </c>
      <c r="I76" s="57" t="s">
        <v>798</v>
      </c>
      <c r="J76" s="53" t="s">
        <v>758</v>
      </c>
      <c r="K76" s="54">
        <v>1</v>
      </c>
    </row>
    <row r="77" spans="1:11" x14ac:dyDescent="0.25">
      <c r="A77" s="48" t="s">
        <v>785</v>
      </c>
      <c r="B77" s="48" t="s">
        <v>741</v>
      </c>
      <c r="C77" s="55" t="s">
        <v>742</v>
      </c>
      <c r="D77" s="50" t="s">
        <v>743</v>
      </c>
      <c r="E77" s="48" t="s">
        <v>796</v>
      </c>
      <c r="F77" s="51">
        <v>45646</v>
      </c>
      <c r="G77" s="50">
        <v>2024</v>
      </c>
      <c r="H77" s="53" t="s">
        <v>797</v>
      </c>
      <c r="I77" s="57" t="s">
        <v>798</v>
      </c>
      <c r="J77" s="53" t="s">
        <v>758</v>
      </c>
      <c r="K77" s="54">
        <v>1</v>
      </c>
    </row>
    <row r="78" spans="1:11" x14ac:dyDescent="0.25">
      <c r="A78" s="48" t="s">
        <v>59</v>
      </c>
      <c r="B78" s="48" t="s">
        <v>741</v>
      </c>
      <c r="C78" s="55" t="s">
        <v>742</v>
      </c>
      <c r="D78" s="50" t="s">
        <v>743</v>
      </c>
      <c r="E78" s="48" t="s">
        <v>796</v>
      </c>
      <c r="F78" s="51">
        <v>45646</v>
      </c>
      <c r="G78" s="50">
        <v>2024</v>
      </c>
      <c r="H78" s="53" t="s">
        <v>797</v>
      </c>
      <c r="I78" s="57" t="s">
        <v>798</v>
      </c>
      <c r="J78" s="53" t="s">
        <v>758</v>
      </c>
      <c r="K78" s="54">
        <v>1</v>
      </c>
    </row>
    <row r="79" spans="1:11" x14ac:dyDescent="0.25">
      <c r="A79" s="48" t="s">
        <v>794</v>
      </c>
      <c r="B79" s="48" t="s">
        <v>741</v>
      </c>
      <c r="C79" s="55" t="s">
        <v>742</v>
      </c>
      <c r="D79" s="50" t="s">
        <v>743</v>
      </c>
      <c r="E79" s="48" t="s">
        <v>796</v>
      </c>
      <c r="F79" s="51">
        <v>45646</v>
      </c>
      <c r="G79" s="50">
        <v>2024</v>
      </c>
      <c r="H79" s="53" t="s">
        <v>797</v>
      </c>
      <c r="I79" s="57" t="s">
        <v>798</v>
      </c>
      <c r="J79" s="53" t="s">
        <v>758</v>
      </c>
      <c r="K79" s="54">
        <v>1</v>
      </c>
    </row>
    <row r="80" spans="1:11" x14ac:dyDescent="0.25">
      <c r="A80" s="48" t="s">
        <v>760</v>
      </c>
      <c r="B80" s="48" t="s">
        <v>741</v>
      </c>
      <c r="C80" s="55" t="s">
        <v>742</v>
      </c>
      <c r="D80" s="50" t="s">
        <v>743</v>
      </c>
      <c r="E80" s="48" t="s">
        <v>796</v>
      </c>
      <c r="F80" s="51">
        <v>45646</v>
      </c>
      <c r="G80" s="50">
        <v>2024</v>
      </c>
      <c r="H80" s="53" t="s">
        <v>797</v>
      </c>
      <c r="I80" s="57" t="s">
        <v>798</v>
      </c>
      <c r="J80" s="53" t="s">
        <v>758</v>
      </c>
      <c r="K80" s="54">
        <v>1</v>
      </c>
    </row>
    <row r="81" spans="1:11" x14ac:dyDescent="0.25">
      <c r="A81" s="48" t="s">
        <v>790</v>
      </c>
      <c r="B81" s="48" t="s">
        <v>741</v>
      </c>
      <c r="C81" s="55" t="s">
        <v>742</v>
      </c>
      <c r="D81" s="50" t="s">
        <v>743</v>
      </c>
      <c r="E81" s="48" t="s">
        <v>796</v>
      </c>
      <c r="F81" s="51">
        <v>45646</v>
      </c>
      <c r="G81" s="50">
        <v>2024</v>
      </c>
      <c r="H81" s="53" t="s">
        <v>797</v>
      </c>
      <c r="I81" s="57" t="s">
        <v>798</v>
      </c>
      <c r="J81" s="53" t="s">
        <v>758</v>
      </c>
      <c r="K81" s="54">
        <v>1</v>
      </c>
    </row>
    <row r="82" spans="1:11" x14ac:dyDescent="0.25">
      <c r="A82" s="48" t="s">
        <v>769</v>
      </c>
      <c r="B82" s="48" t="s">
        <v>741</v>
      </c>
      <c r="C82" s="55" t="s">
        <v>742</v>
      </c>
      <c r="D82" s="50" t="s">
        <v>743</v>
      </c>
      <c r="E82" s="48" t="s">
        <v>796</v>
      </c>
      <c r="F82" s="51">
        <v>45646</v>
      </c>
      <c r="G82" s="50">
        <v>2024</v>
      </c>
      <c r="H82" s="53" t="s">
        <v>797</v>
      </c>
      <c r="I82" s="57" t="s">
        <v>798</v>
      </c>
      <c r="J82" s="53" t="s">
        <v>758</v>
      </c>
      <c r="K82" s="54">
        <v>1</v>
      </c>
    </row>
    <row r="83" spans="1:11" x14ac:dyDescent="0.25">
      <c r="A83" s="48" t="s">
        <v>795</v>
      </c>
      <c r="B83" s="48" t="s">
        <v>741</v>
      </c>
      <c r="C83" s="55" t="s">
        <v>742</v>
      </c>
      <c r="D83" s="50" t="s">
        <v>743</v>
      </c>
      <c r="E83" s="48" t="s">
        <v>796</v>
      </c>
      <c r="F83" s="51">
        <v>45646</v>
      </c>
      <c r="G83" s="50">
        <v>2024</v>
      </c>
      <c r="H83" s="53" t="s">
        <v>797</v>
      </c>
      <c r="I83" s="57" t="s">
        <v>798</v>
      </c>
      <c r="J83" s="53" t="s">
        <v>758</v>
      </c>
      <c r="K83" s="54">
        <v>1</v>
      </c>
    </row>
    <row r="84" spans="1:11" x14ac:dyDescent="0.25">
      <c r="A84" s="48" t="s">
        <v>782</v>
      </c>
      <c r="B84" s="48" t="s">
        <v>741</v>
      </c>
      <c r="C84" s="55" t="s">
        <v>742</v>
      </c>
      <c r="D84" s="50" t="s">
        <v>743</v>
      </c>
      <c r="E84" s="48" t="s">
        <v>744</v>
      </c>
      <c r="F84" s="51">
        <v>45679</v>
      </c>
      <c r="G84" s="48">
        <v>2025</v>
      </c>
      <c r="H84" s="53" t="s">
        <v>799</v>
      </c>
      <c r="I84" s="57" t="s">
        <v>800</v>
      </c>
      <c r="J84" s="53" t="s">
        <v>758</v>
      </c>
      <c r="K84" s="54">
        <v>1</v>
      </c>
    </row>
    <row r="85" spans="1:11" x14ac:dyDescent="0.25">
      <c r="A85" s="48" t="s">
        <v>785</v>
      </c>
      <c r="B85" s="48" t="s">
        <v>741</v>
      </c>
      <c r="C85" s="55" t="s">
        <v>742</v>
      </c>
      <c r="D85" s="50" t="s">
        <v>743</v>
      </c>
      <c r="E85" s="48" t="s">
        <v>744</v>
      </c>
      <c r="F85" s="51">
        <v>45679</v>
      </c>
      <c r="G85" s="48">
        <v>2025</v>
      </c>
      <c r="H85" s="53" t="s">
        <v>799</v>
      </c>
      <c r="I85" s="57" t="s">
        <v>800</v>
      </c>
      <c r="J85" s="53" t="s">
        <v>758</v>
      </c>
      <c r="K85" s="54">
        <v>1</v>
      </c>
    </row>
    <row r="86" spans="1:11" x14ac:dyDescent="0.25">
      <c r="A86" s="48" t="s">
        <v>30</v>
      </c>
      <c r="B86" s="48" t="s">
        <v>741</v>
      </c>
      <c r="C86" s="55" t="s">
        <v>742</v>
      </c>
      <c r="D86" s="50" t="s">
        <v>743</v>
      </c>
      <c r="E86" s="48" t="s">
        <v>744</v>
      </c>
      <c r="F86" s="51">
        <v>45679</v>
      </c>
      <c r="G86" s="48">
        <v>2025</v>
      </c>
      <c r="H86" s="53" t="s">
        <v>799</v>
      </c>
      <c r="I86" s="57" t="s">
        <v>800</v>
      </c>
      <c r="J86" s="53" t="s">
        <v>758</v>
      </c>
      <c r="K86" s="54">
        <v>1</v>
      </c>
    </row>
    <row r="87" spans="1:11" x14ac:dyDescent="0.25">
      <c r="A87" s="48" t="s">
        <v>59</v>
      </c>
      <c r="B87" s="48" t="s">
        <v>741</v>
      </c>
      <c r="C87" s="55" t="s">
        <v>742</v>
      </c>
      <c r="D87" s="50" t="s">
        <v>743</v>
      </c>
      <c r="E87" s="48" t="s">
        <v>744</v>
      </c>
      <c r="F87" s="51">
        <v>45679</v>
      </c>
      <c r="G87" s="48">
        <v>2025</v>
      </c>
      <c r="H87" s="53" t="s">
        <v>799</v>
      </c>
      <c r="I87" s="57" t="s">
        <v>800</v>
      </c>
      <c r="J87" s="53" t="s">
        <v>758</v>
      </c>
      <c r="K87" s="54">
        <v>1</v>
      </c>
    </row>
    <row r="88" spans="1:11" x14ac:dyDescent="0.25">
      <c r="A88" s="48" t="s">
        <v>794</v>
      </c>
      <c r="B88" s="48" t="s">
        <v>741</v>
      </c>
      <c r="C88" s="55" t="s">
        <v>742</v>
      </c>
      <c r="D88" s="50" t="s">
        <v>743</v>
      </c>
      <c r="E88" s="48" t="s">
        <v>744</v>
      </c>
      <c r="F88" s="51">
        <v>45679</v>
      </c>
      <c r="G88" s="48">
        <v>2025</v>
      </c>
      <c r="H88" s="53" t="s">
        <v>799</v>
      </c>
      <c r="I88" s="57" t="s">
        <v>800</v>
      </c>
      <c r="J88" s="53" t="s">
        <v>758</v>
      </c>
      <c r="K88" s="54">
        <v>1</v>
      </c>
    </row>
    <row r="89" spans="1:11" x14ac:dyDescent="0.25">
      <c r="A89" s="48" t="s">
        <v>89</v>
      </c>
      <c r="B89" s="48" t="s">
        <v>741</v>
      </c>
      <c r="C89" s="55" t="s">
        <v>742</v>
      </c>
      <c r="D89" s="50" t="s">
        <v>743</v>
      </c>
      <c r="E89" s="48" t="s">
        <v>744</v>
      </c>
      <c r="F89" s="51">
        <v>45679</v>
      </c>
      <c r="G89" s="48">
        <v>2025</v>
      </c>
      <c r="H89" s="53" t="s">
        <v>799</v>
      </c>
      <c r="I89" s="57" t="s">
        <v>800</v>
      </c>
      <c r="J89" s="53" t="s">
        <v>758</v>
      </c>
      <c r="K89" s="54">
        <v>1</v>
      </c>
    </row>
    <row r="90" spans="1:11" x14ac:dyDescent="0.25">
      <c r="A90" s="48" t="s">
        <v>29</v>
      </c>
      <c r="B90" s="48" t="s">
        <v>741</v>
      </c>
      <c r="C90" s="55" t="s">
        <v>742</v>
      </c>
      <c r="D90" s="50" t="s">
        <v>743</v>
      </c>
      <c r="E90" s="48" t="s">
        <v>744</v>
      </c>
      <c r="F90" s="51">
        <v>45679</v>
      </c>
      <c r="G90" s="48">
        <v>2025</v>
      </c>
      <c r="H90" s="53" t="s">
        <v>799</v>
      </c>
      <c r="I90" s="57" t="s">
        <v>800</v>
      </c>
      <c r="J90" s="53" t="s">
        <v>758</v>
      </c>
      <c r="K90" s="54">
        <v>1</v>
      </c>
    </row>
    <row r="91" spans="1:11" x14ac:dyDescent="0.25">
      <c r="A91" s="48" t="s">
        <v>795</v>
      </c>
      <c r="B91" s="48" t="s">
        <v>741</v>
      </c>
      <c r="C91" s="55" t="s">
        <v>742</v>
      </c>
      <c r="D91" s="50" t="s">
        <v>743</v>
      </c>
      <c r="E91" s="48" t="s">
        <v>744</v>
      </c>
      <c r="F91" s="51">
        <v>45679</v>
      </c>
      <c r="G91" s="48">
        <v>2025</v>
      </c>
      <c r="H91" s="53" t="s">
        <v>799</v>
      </c>
      <c r="I91" s="57" t="s">
        <v>800</v>
      </c>
      <c r="J91" s="53" t="s">
        <v>758</v>
      </c>
      <c r="K91" s="54">
        <v>1</v>
      </c>
    </row>
    <row r="92" spans="1:11" x14ac:dyDescent="0.25">
      <c r="A92" s="48" t="s">
        <v>782</v>
      </c>
      <c r="B92" s="48" t="s">
        <v>741</v>
      </c>
      <c r="C92" s="55" t="s">
        <v>742</v>
      </c>
      <c r="D92" s="50" t="s">
        <v>743</v>
      </c>
      <c r="E92" s="48" t="s">
        <v>750</v>
      </c>
      <c r="F92" s="51">
        <v>45714</v>
      </c>
      <c r="G92" s="48">
        <v>2025</v>
      </c>
      <c r="H92" s="53" t="s">
        <v>801</v>
      </c>
      <c r="I92" s="57" t="s">
        <v>802</v>
      </c>
      <c r="J92" s="53" t="s">
        <v>758</v>
      </c>
      <c r="K92" s="54">
        <v>1</v>
      </c>
    </row>
    <row r="93" spans="1:11" x14ac:dyDescent="0.25">
      <c r="A93" s="48" t="s">
        <v>73</v>
      </c>
      <c r="B93" s="48" t="s">
        <v>741</v>
      </c>
      <c r="C93" s="55" t="s">
        <v>742</v>
      </c>
      <c r="D93" s="50" t="s">
        <v>743</v>
      </c>
      <c r="E93" s="48" t="s">
        <v>750</v>
      </c>
      <c r="F93" s="51">
        <v>45714</v>
      </c>
      <c r="G93" s="48">
        <v>2025</v>
      </c>
      <c r="H93" s="53" t="s">
        <v>801</v>
      </c>
      <c r="I93" s="57" t="s">
        <v>802</v>
      </c>
      <c r="J93" s="53" t="s">
        <v>758</v>
      </c>
      <c r="K93" s="54">
        <v>1</v>
      </c>
    </row>
    <row r="94" spans="1:11" x14ac:dyDescent="0.25">
      <c r="A94" s="48" t="s">
        <v>784</v>
      </c>
      <c r="B94" s="48" t="s">
        <v>741</v>
      </c>
      <c r="C94" s="55" t="s">
        <v>742</v>
      </c>
      <c r="D94" s="50" t="s">
        <v>743</v>
      </c>
      <c r="E94" s="48" t="s">
        <v>750</v>
      </c>
      <c r="F94" s="51">
        <v>45714</v>
      </c>
      <c r="G94" s="48">
        <v>2025</v>
      </c>
      <c r="H94" s="53" t="s">
        <v>801</v>
      </c>
      <c r="I94" s="57" t="s">
        <v>802</v>
      </c>
      <c r="J94" s="53" t="s">
        <v>758</v>
      </c>
      <c r="K94" s="54">
        <v>1</v>
      </c>
    </row>
    <row r="95" spans="1:11" x14ac:dyDescent="0.25">
      <c r="A95" s="48" t="s">
        <v>803</v>
      </c>
      <c r="B95" s="48" t="s">
        <v>741</v>
      </c>
      <c r="C95" s="55" t="s">
        <v>742</v>
      </c>
      <c r="D95" s="50" t="s">
        <v>743</v>
      </c>
      <c r="E95" s="48" t="s">
        <v>750</v>
      </c>
      <c r="F95" s="51">
        <v>45714</v>
      </c>
      <c r="G95" s="48">
        <v>2025</v>
      </c>
      <c r="H95" s="53" t="s">
        <v>801</v>
      </c>
      <c r="I95" s="57" t="s">
        <v>802</v>
      </c>
      <c r="J95" s="53" t="s">
        <v>758</v>
      </c>
      <c r="K95" s="54">
        <v>1</v>
      </c>
    </row>
    <row r="96" spans="1:11" x14ac:dyDescent="0.25">
      <c r="A96" s="48" t="s">
        <v>785</v>
      </c>
      <c r="B96" s="48" t="s">
        <v>741</v>
      </c>
      <c r="C96" s="55" t="s">
        <v>742</v>
      </c>
      <c r="D96" s="50" t="s">
        <v>743</v>
      </c>
      <c r="E96" s="48" t="s">
        <v>750</v>
      </c>
      <c r="F96" s="51">
        <v>45714</v>
      </c>
      <c r="G96" s="48">
        <v>2025</v>
      </c>
      <c r="H96" s="53" t="s">
        <v>801</v>
      </c>
      <c r="I96" s="57" t="s">
        <v>802</v>
      </c>
      <c r="J96" s="53" t="s">
        <v>758</v>
      </c>
      <c r="K96" s="54">
        <v>1</v>
      </c>
    </row>
    <row r="97" spans="1:11" x14ac:dyDescent="0.25">
      <c r="A97" s="48" t="s">
        <v>30</v>
      </c>
      <c r="B97" s="48" t="s">
        <v>741</v>
      </c>
      <c r="C97" s="55" t="s">
        <v>742</v>
      </c>
      <c r="D97" s="50" t="s">
        <v>743</v>
      </c>
      <c r="E97" s="48" t="s">
        <v>750</v>
      </c>
      <c r="F97" s="51">
        <v>45714</v>
      </c>
      <c r="G97" s="48">
        <v>2025</v>
      </c>
      <c r="H97" s="53" t="s">
        <v>801</v>
      </c>
      <c r="I97" s="57" t="s">
        <v>802</v>
      </c>
      <c r="J97" s="53" t="s">
        <v>758</v>
      </c>
      <c r="K97" s="54">
        <v>1</v>
      </c>
    </row>
    <row r="98" spans="1:11" x14ac:dyDescent="0.25">
      <c r="A98" s="48" t="s">
        <v>59</v>
      </c>
      <c r="B98" s="48" t="s">
        <v>741</v>
      </c>
      <c r="C98" s="55" t="s">
        <v>742</v>
      </c>
      <c r="D98" s="50" t="s">
        <v>743</v>
      </c>
      <c r="E98" s="48" t="s">
        <v>750</v>
      </c>
      <c r="F98" s="51">
        <v>45714</v>
      </c>
      <c r="G98" s="48">
        <v>2025</v>
      </c>
      <c r="H98" s="53" t="s">
        <v>801</v>
      </c>
      <c r="I98" s="57" t="s">
        <v>802</v>
      </c>
      <c r="J98" s="53" t="s">
        <v>758</v>
      </c>
      <c r="K98" s="54">
        <v>1</v>
      </c>
    </row>
    <row r="99" spans="1:11" x14ac:dyDescent="0.25">
      <c r="A99" s="48" t="s">
        <v>794</v>
      </c>
      <c r="B99" s="48" t="s">
        <v>741</v>
      </c>
      <c r="C99" s="55" t="s">
        <v>742</v>
      </c>
      <c r="D99" s="50" t="s">
        <v>743</v>
      </c>
      <c r="E99" s="48" t="s">
        <v>750</v>
      </c>
      <c r="F99" s="51">
        <v>45714</v>
      </c>
      <c r="G99" s="48">
        <v>2025</v>
      </c>
      <c r="H99" s="53" t="s">
        <v>801</v>
      </c>
      <c r="I99" s="57" t="s">
        <v>802</v>
      </c>
      <c r="J99" s="53" t="s">
        <v>758</v>
      </c>
      <c r="K99" s="54">
        <v>1</v>
      </c>
    </row>
    <row r="100" spans="1:11" x14ac:dyDescent="0.25">
      <c r="A100" s="48" t="s">
        <v>804</v>
      </c>
      <c r="B100" s="48" t="s">
        <v>741</v>
      </c>
      <c r="C100" s="55" t="s">
        <v>742</v>
      </c>
      <c r="D100" s="50" t="s">
        <v>743</v>
      </c>
      <c r="E100" s="48" t="s">
        <v>750</v>
      </c>
      <c r="F100" s="51">
        <v>45714</v>
      </c>
      <c r="G100" s="48">
        <v>2025</v>
      </c>
      <c r="H100" s="53" t="s">
        <v>801</v>
      </c>
      <c r="I100" s="57" t="s">
        <v>802</v>
      </c>
      <c r="J100" s="53" t="s">
        <v>758</v>
      </c>
      <c r="K100" s="54">
        <v>1</v>
      </c>
    </row>
    <row r="101" spans="1:11" x14ac:dyDescent="0.25">
      <c r="A101" s="48" t="s">
        <v>760</v>
      </c>
      <c r="B101" s="48" t="s">
        <v>741</v>
      </c>
      <c r="C101" s="55" t="s">
        <v>742</v>
      </c>
      <c r="D101" s="50" t="s">
        <v>743</v>
      </c>
      <c r="E101" s="48" t="s">
        <v>750</v>
      </c>
      <c r="F101" s="51">
        <v>45714</v>
      </c>
      <c r="G101" s="48">
        <v>2025</v>
      </c>
      <c r="H101" s="53" t="s">
        <v>801</v>
      </c>
      <c r="I101" s="57" t="s">
        <v>802</v>
      </c>
      <c r="J101" s="53" t="s">
        <v>758</v>
      </c>
      <c r="K101" s="54">
        <v>1</v>
      </c>
    </row>
    <row r="102" spans="1:11" x14ac:dyDescent="0.25">
      <c r="A102" s="48" t="s">
        <v>92</v>
      </c>
      <c r="B102" s="48" t="s">
        <v>741</v>
      </c>
      <c r="C102" s="55" t="s">
        <v>742</v>
      </c>
      <c r="D102" s="50" t="s">
        <v>743</v>
      </c>
      <c r="E102" s="48" t="s">
        <v>750</v>
      </c>
      <c r="F102" s="51">
        <v>45714</v>
      </c>
      <c r="G102" s="48">
        <v>2025</v>
      </c>
      <c r="H102" s="53" t="s">
        <v>801</v>
      </c>
      <c r="I102" s="57" t="s">
        <v>802</v>
      </c>
      <c r="J102" s="53" t="s">
        <v>758</v>
      </c>
      <c r="K102" s="54">
        <v>1</v>
      </c>
    </row>
    <row r="103" spans="1:11" x14ac:dyDescent="0.25">
      <c r="A103" s="48" t="s">
        <v>790</v>
      </c>
      <c r="B103" s="48" t="s">
        <v>741</v>
      </c>
      <c r="C103" s="55" t="s">
        <v>742</v>
      </c>
      <c r="D103" s="50" t="s">
        <v>743</v>
      </c>
      <c r="E103" s="48" t="s">
        <v>750</v>
      </c>
      <c r="F103" s="51">
        <v>45714</v>
      </c>
      <c r="G103" s="48">
        <v>2025</v>
      </c>
      <c r="H103" s="53" t="s">
        <v>801</v>
      </c>
      <c r="I103" s="57" t="s">
        <v>802</v>
      </c>
      <c r="J103" s="53" t="s">
        <v>758</v>
      </c>
      <c r="K103" s="54">
        <v>1</v>
      </c>
    </row>
    <row r="104" spans="1:11" x14ac:dyDescent="0.25">
      <c r="A104" s="48" t="s">
        <v>795</v>
      </c>
      <c r="B104" s="48" t="s">
        <v>741</v>
      </c>
      <c r="C104" s="55" t="s">
        <v>742</v>
      </c>
      <c r="D104" s="50" t="s">
        <v>743</v>
      </c>
      <c r="E104" s="48" t="s">
        <v>750</v>
      </c>
      <c r="F104" s="51">
        <v>45714</v>
      </c>
      <c r="G104" s="48">
        <v>2025</v>
      </c>
      <c r="H104" s="53" t="s">
        <v>801</v>
      </c>
      <c r="I104" s="57" t="s">
        <v>802</v>
      </c>
      <c r="J104" s="53" t="s">
        <v>758</v>
      </c>
      <c r="K104" s="54">
        <v>1</v>
      </c>
    </row>
    <row r="105" spans="1:11" x14ac:dyDescent="0.25">
      <c r="A105" s="48" t="s">
        <v>805</v>
      </c>
      <c r="B105" s="48" t="s">
        <v>741</v>
      </c>
      <c r="C105" s="55" t="s">
        <v>742</v>
      </c>
      <c r="D105" s="50" t="s">
        <v>743</v>
      </c>
      <c r="E105" s="48" t="s">
        <v>750</v>
      </c>
      <c r="F105" s="51">
        <v>45714</v>
      </c>
      <c r="G105" s="48">
        <v>2025</v>
      </c>
      <c r="H105" s="53" t="s">
        <v>801</v>
      </c>
      <c r="I105" s="57" t="s">
        <v>802</v>
      </c>
      <c r="J105" s="53" t="s">
        <v>758</v>
      </c>
      <c r="K105" s="54">
        <v>1</v>
      </c>
    </row>
    <row r="106" spans="1:11" x14ac:dyDescent="0.25">
      <c r="A106" s="48" t="s">
        <v>784</v>
      </c>
      <c r="B106" s="48" t="s">
        <v>741</v>
      </c>
      <c r="C106" s="55" t="s">
        <v>742</v>
      </c>
      <c r="D106" s="50" t="s">
        <v>743</v>
      </c>
      <c r="E106" s="48" t="s">
        <v>806</v>
      </c>
      <c r="F106" s="51">
        <v>45742</v>
      </c>
      <c r="G106" s="48">
        <v>2025</v>
      </c>
      <c r="H106" s="53" t="s">
        <v>807</v>
      </c>
      <c r="I106" s="57" t="s">
        <v>808</v>
      </c>
      <c r="J106" s="53" t="s">
        <v>758</v>
      </c>
      <c r="K106" s="54">
        <v>1</v>
      </c>
    </row>
    <row r="107" spans="1:11" x14ac:dyDescent="0.25">
      <c r="A107" s="48" t="s">
        <v>803</v>
      </c>
      <c r="B107" s="48" t="s">
        <v>741</v>
      </c>
      <c r="C107" s="55" t="s">
        <v>742</v>
      </c>
      <c r="D107" s="50" t="s">
        <v>743</v>
      </c>
      <c r="E107" s="48" t="s">
        <v>806</v>
      </c>
      <c r="F107" s="51">
        <v>45742</v>
      </c>
      <c r="G107" s="48">
        <v>2025</v>
      </c>
      <c r="H107" s="53" t="s">
        <v>807</v>
      </c>
      <c r="I107" s="57" t="s">
        <v>808</v>
      </c>
      <c r="J107" s="53" t="s">
        <v>758</v>
      </c>
      <c r="K107" s="54">
        <v>1</v>
      </c>
    </row>
    <row r="108" spans="1:11" x14ac:dyDescent="0.25">
      <c r="A108" s="48" t="s">
        <v>809</v>
      </c>
      <c r="B108" s="48" t="s">
        <v>741</v>
      </c>
      <c r="C108" s="55" t="s">
        <v>742</v>
      </c>
      <c r="D108" s="50" t="s">
        <v>743</v>
      </c>
      <c r="E108" s="48" t="s">
        <v>806</v>
      </c>
      <c r="F108" s="51">
        <v>45742</v>
      </c>
      <c r="G108" s="48">
        <v>2025</v>
      </c>
      <c r="H108" s="53" t="s">
        <v>807</v>
      </c>
      <c r="I108" s="57" t="s">
        <v>808</v>
      </c>
      <c r="J108" s="53" t="s">
        <v>758</v>
      </c>
      <c r="K108" s="54">
        <v>1</v>
      </c>
    </row>
    <row r="109" spans="1:11" x14ac:dyDescent="0.25">
      <c r="A109" s="48" t="s">
        <v>785</v>
      </c>
      <c r="B109" s="48" t="s">
        <v>741</v>
      </c>
      <c r="C109" s="55" t="s">
        <v>742</v>
      </c>
      <c r="D109" s="50" t="s">
        <v>743</v>
      </c>
      <c r="E109" s="48" t="s">
        <v>806</v>
      </c>
      <c r="F109" s="51">
        <v>45742</v>
      </c>
      <c r="G109" s="48">
        <v>2025</v>
      </c>
      <c r="H109" s="53" t="s">
        <v>807</v>
      </c>
      <c r="I109" s="57" t="s">
        <v>808</v>
      </c>
      <c r="J109" s="53" t="s">
        <v>758</v>
      </c>
      <c r="K109" s="54">
        <v>1</v>
      </c>
    </row>
    <row r="110" spans="1:11" x14ac:dyDescent="0.25">
      <c r="A110" s="48" t="s">
        <v>810</v>
      </c>
      <c r="B110" s="48" t="s">
        <v>741</v>
      </c>
      <c r="C110" s="55" t="s">
        <v>742</v>
      </c>
      <c r="D110" s="50" t="s">
        <v>743</v>
      </c>
      <c r="E110" s="48" t="s">
        <v>806</v>
      </c>
      <c r="F110" s="51">
        <v>45742</v>
      </c>
      <c r="G110" s="48">
        <v>2025</v>
      </c>
      <c r="H110" s="53" t="s">
        <v>807</v>
      </c>
      <c r="I110" s="57" t="s">
        <v>808</v>
      </c>
      <c r="J110" s="53" t="s">
        <v>758</v>
      </c>
      <c r="K110" s="54">
        <v>1</v>
      </c>
    </row>
    <row r="111" spans="1:11" x14ac:dyDescent="0.25">
      <c r="A111" s="48" t="s">
        <v>66</v>
      </c>
      <c r="B111" s="48" t="s">
        <v>741</v>
      </c>
      <c r="C111" s="55" t="s">
        <v>742</v>
      </c>
      <c r="D111" s="50" t="s">
        <v>743</v>
      </c>
      <c r="E111" s="48" t="s">
        <v>806</v>
      </c>
      <c r="F111" s="51">
        <v>45742</v>
      </c>
      <c r="G111" s="48">
        <v>2025</v>
      </c>
      <c r="H111" s="53" t="s">
        <v>807</v>
      </c>
      <c r="I111" s="57" t="s">
        <v>808</v>
      </c>
      <c r="J111" s="53" t="s">
        <v>758</v>
      </c>
      <c r="K111" s="54">
        <v>1</v>
      </c>
    </row>
    <row r="112" spans="1:11" x14ac:dyDescent="0.25">
      <c r="A112" s="48" t="s">
        <v>794</v>
      </c>
      <c r="B112" s="48" t="s">
        <v>741</v>
      </c>
      <c r="C112" s="55" t="s">
        <v>742</v>
      </c>
      <c r="D112" s="50" t="s">
        <v>743</v>
      </c>
      <c r="E112" s="48" t="s">
        <v>806</v>
      </c>
      <c r="F112" s="51">
        <v>45742</v>
      </c>
      <c r="G112" s="48">
        <v>2025</v>
      </c>
      <c r="H112" s="53" t="s">
        <v>807</v>
      </c>
      <c r="I112" s="57" t="s">
        <v>808</v>
      </c>
      <c r="J112" s="53" t="s">
        <v>758</v>
      </c>
      <c r="K112" s="54">
        <v>1</v>
      </c>
    </row>
    <row r="113" spans="1:11" x14ac:dyDescent="0.25">
      <c r="A113" s="48" t="s">
        <v>804</v>
      </c>
      <c r="B113" s="48" t="s">
        <v>741</v>
      </c>
      <c r="C113" s="55" t="s">
        <v>742</v>
      </c>
      <c r="D113" s="50" t="s">
        <v>743</v>
      </c>
      <c r="E113" s="48" t="s">
        <v>806</v>
      </c>
      <c r="F113" s="51">
        <v>45742</v>
      </c>
      <c r="G113" s="48">
        <v>2025</v>
      </c>
      <c r="H113" s="53" t="s">
        <v>807</v>
      </c>
      <c r="I113" s="57" t="s">
        <v>808</v>
      </c>
      <c r="J113" s="53" t="s">
        <v>758</v>
      </c>
      <c r="K113" s="54">
        <v>1</v>
      </c>
    </row>
    <row r="114" spans="1:11" x14ac:dyDescent="0.25">
      <c r="A114" s="48" t="s">
        <v>760</v>
      </c>
      <c r="B114" s="48" t="s">
        <v>741</v>
      </c>
      <c r="C114" s="55" t="s">
        <v>742</v>
      </c>
      <c r="D114" s="50" t="s">
        <v>743</v>
      </c>
      <c r="E114" s="48" t="s">
        <v>806</v>
      </c>
      <c r="F114" s="51">
        <v>45742</v>
      </c>
      <c r="G114" s="48">
        <v>2025</v>
      </c>
      <c r="H114" s="53" t="s">
        <v>807</v>
      </c>
      <c r="I114" s="57" t="s">
        <v>808</v>
      </c>
      <c r="J114" s="53" t="s">
        <v>758</v>
      </c>
      <c r="K114" s="54">
        <v>1</v>
      </c>
    </row>
    <row r="115" spans="1:11" x14ac:dyDescent="0.25">
      <c r="A115" s="48" t="s">
        <v>92</v>
      </c>
      <c r="B115" s="48" t="s">
        <v>741</v>
      </c>
      <c r="C115" s="55" t="s">
        <v>742</v>
      </c>
      <c r="D115" s="50" t="s">
        <v>743</v>
      </c>
      <c r="E115" s="48" t="s">
        <v>806</v>
      </c>
      <c r="F115" s="51">
        <v>45742</v>
      </c>
      <c r="G115" s="48">
        <v>2025</v>
      </c>
      <c r="H115" s="53" t="s">
        <v>807</v>
      </c>
      <c r="I115" s="57" t="s">
        <v>808</v>
      </c>
      <c r="J115" s="53" t="s">
        <v>758</v>
      </c>
      <c r="K115" s="54">
        <v>1</v>
      </c>
    </row>
    <row r="116" spans="1:11" x14ac:dyDescent="0.25">
      <c r="A116" s="48" t="s">
        <v>29</v>
      </c>
      <c r="B116" s="48" t="s">
        <v>741</v>
      </c>
      <c r="C116" s="55" t="s">
        <v>742</v>
      </c>
      <c r="D116" s="50" t="s">
        <v>743</v>
      </c>
      <c r="E116" s="48" t="s">
        <v>806</v>
      </c>
      <c r="F116" s="51">
        <v>45742</v>
      </c>
      <c r="G116" s="48">
        <v>2025</v>
      </c>
      <c r="H116" s="53" t="s">
        <v>807</v>
      </c>
      <c r="I116" s="57" t="s">
        <v>808</v>
      </c>
      <c r="J116" s="53" t="s">
        <v>758</v>
      </c>
      <c r="K116" s="54">
        <v>1</v>
      </c>
    </row>
    <row r="117" spans="1:11" x14ac:dyDescent="0.25">
      <c r="A117" s="48" t="s">
        <v>795</v>
      </c>
      <c r="B117" s="48" t="s">
        <v>741</v>
      </c>
      <c r="C117" s="55" t="s">
        <v>742</v>
      </c>
      <c r="D117" s="50" t="s">
        <v>743</v>
      </c>
      <c r="E117" s="48" t="s">
        <v>806</v>
      </c>
      <c r="F117" s="51">
        <v>45742</v>
      </c>
      <c r="G117" s="48">
        <v>2025</v>
      </c>
      <c r="H117" s="53" t="s">
        <v>807</v>
      </c>
      <c r="I117" s="57" t="s">
        <v>808</v>
      </c>
      <c r="J117" s="53" t="s">
        <v>758</v>
      </c>
      <c r="K117" s="54">
        <v>1</v>
      </c>
    </row>
    <row r="118" spans="1:11" x14ac:dyDescent="0.25">
      <c r="A118" s="48" t="s">
        <v>805</v>
      </c>
      <c r="B118" s="48" t="s">
        <v>741</v>
      </c>
      <c r="C118" s="55" t="s">
        <v>742</v>
      </c>
      <c r="D118" s="50" t="s">
        <v>743</v>
      </c>
      <c r="E118" s="48" t="s">
        <v>806</v>
      </c>
      <c r="F118" s="51">
        <v>45742</v>
      </c>
      <c r="G118" s="48">
        <v>2025</v>
      </c>
      <c r="H118" s="53" t="s">
        <v>807</v>
      </c>
      <c r="I118" s="57" t="s">
        <v>808</v>
      </c>
      <c r="J118" s="53" t="s">
        <v>758</v>
      </c>
      <c r="K118" s="54">
        <v>1</v>
      </c>
    </row>
    <row r="119" spans="1:11" x14ac:dyDescent="0.25">
      <c r="A119" s="48" t="s">
        <v>790</v>
      </c>
      <c r="B119" s="48" t="s">
        <v>741</v>
      </c>
      <c r="C119" s="55" t="s">
        <v>742</v>
      </c>
      <c r="D119" s="50" t="s">
        <v>743</v>
      </c>
      <c r="E119" s="50" t="s">
        <v>811</v>
      </c>
      <c r="F119" s="51">
        <v>45733</v>
      </c>
      <c r="G119" s="50">
        <v>2025</v>
      </c>
      <c r="H119" s="48" t="s">
        <v>812</v>
      </c>
      <c r="I119" s="57" t="s">
        <v>808</v>
      </c>
      <c r="J119" s="53" t="s">
        <v>747</v>
      </c>
      <c r="K119" s="54">
        <v>1</v>
      </c>
    </row>
    <row r="120" spans="1:11" x14ac:dyDescent="0.25">
      <c r="A120" s="48" t="s">
        <v>73</v>
      </c>
      <c r="B120" s="48" t="s">
        <v>741</v>
      </c>
      <c r="C120" s="55" t="s">
        <v>742</v>
      </c>
      <c r="D120" s="50" t="s">
        <v>743</v>
      </c>
      <c r="E120" s="48" t="s">
        <v>753</v>
      </c>
      <c r="F120" s="51">
        <v>45771</v>
      </c>
      <c r="G120" s="48">
        <v>2025</v>
      </c>
      <c r="H120" s="53" t="s">
        <v>813</v>
      </c>
      <c r="I120" s="57" t="s">
        <v>814</v>
      </c>
      <c r="J120" s="53" t="s">
        <v>758</v>
      </c>
      <c r="K120" s="54">
        <v>1</v>
      </c>
    </row>
    <row r="121" spans="1:11" x14ac:dyDescent="0.25">
      <c r="A121" s="48" t="s">
        <v>784</v>
      </c>
      <c r="B121" s="48" t="s">
        <v>741</v>
      </c>
      <c r="C121" s="55" t="s">
        <v>742</v>
      </c>
      <c r="D121" s="50" t="s">
        <v>743</v>
      </c>
      <c r="E121" s="48" t="s">
        <v>753</v>
      </c>
      <c r="F121" s="51">
        <v>45771</v>
      </c>
      <c r="G121" s="48">
        <v>2025</v>
      </c>
      <c r="H121" s="53" t="s">
        <v>813</v>
      </c>
      <c r="I121" s="57" t="s">
        <v>814</v>
      </c>
      <c r="J121" s="53" t="s">
        <v>758</v>
      </c>
      <c r="K121" s="54">
        <v>1</v>
      </c>
    </row>
    <row r="122" spans="1:11" x14ac:dyDescent="0.25">
      <c r="A122" s="48" t="s">
        <v>803</v>
      </c>
      <c r="B122" s="48" t="s">
        <v>741</v>
      </c>
      <c r="C122" s="55" t="s">
        <v>742</v>
      </c>
      <c r="D122" s="50" t="s">
        <v>743</v>
      </c>
      <c r="E122" s="48" t="s">
        <v>753</v>
      </c>
      <c r="F122" s="51">
        <v>45771</v>
      </c>
      <c r="G122" s="48">
        <v>2025</v>
      </c>
      <c r="H122" s="53" t="s">
        <v>813</v>
      </c>
      <c r="I122" s="57" t="s">
        <v>814</v>
      </c>
      <c r="J122" s="53" t="s">
        <v>758</v>
      </c>
      <c r="K122" s="54">
        <v>1</v>
      </c>
    </row>
    <row r="123" spans="1:11" x14ac:dyDescent="0.25">
      <c r="A123" s="48" t="s">
        <v>30</v>
      </c>
      <c r="B123" s="48" t="s">
        <v>741</v>
      </c>
      <c r="C123" s="55" t="s">
        <v>742</v>
      </c>
      <c r="D123" s="50" t="s">
        <v>743</v>
      </c>
      <c r="E123" s="48" t="s">
        <v>753</v>
      </c>
      <c r="F123" s="51">
        <v>45771</v>
      </c>
      <c r="G123" s="48">
        <v>2025</v>
      </c>
      <c r="H123" s="53" t="s">
        <v>813</v>
      </c>
      <c r="I123" s="57" t="s">
        <v>814</v>
      </c>
      <c r="J123" s="53" t="s">
        <v>758</v>
      </c>
      <c r="K123" s="54">
        <v>1</v>
      </c>
    </row>
    <row r="124" spans="1:11" x14ac:dyDescent="0.25">
      <c r="A124" s="48" t="s">
        <v>760</v>
      </c>
      <c r="B124" s="48" t="s">
        <v>741</v>
      </c>
      <c r="C124" s="55" t="s">
        <v>742</v>
      </c>
      <c r="D124" s="50" t="s">
        <v>743</v>
      </c>
      <c r="E124" s="48" t="s">
        <v>753</v>
      </c>
      <c r="F124" s="51">
        <v>45771</v>
      </c>
      <c r="G124" s="48">
        <v>2025</v>
      </c>
      <c r="H124" s="53" t="s">
        <v>813</v>
      </c>
      <c r="I124" s="57" t="s">
        <v>814</v>
      </c>
      <c r="J124" s="53" t="s">
        <v>758</v>
      </c>
      <c r="K124" s="54">
        <v>1</v>
      </c>
    </row>
    <row r="125" spans="1:11" x14ac:dyDescent="0.25">
      <c r="A125" s="48" t="s">
        <v>92</v>
      </c>
      <c r="B125" s="48" t="s">
        <v>741</v>
      </c>
      <c r="C125" s="55" t="s">
        <v>742</v>
      </c>
      <c r="D125" s="50" t="s">
        <v>743</v>
      </c>
      <c r="E125" s="48" t="s">
        <v>753</v>
      </c>
      <c r="F125" s="51">
        <v>45771</v>
      </c>
      <c r="G125" s="48">
        <v>2025</v>
      </c>
      <c r="H125" s="53" t="s">
        <v>813</v>
      </c>
      <c r="I125" s="57" t="s">
        <v>814</v>
      </c>
      <c r="J125" s="53" t="s">
        <v>758</v>
      </c>
      <c r="K125" s="54">
        <v>1</v>
      </c>
    </row>
    <row r="126" spans="1:11" x14ac:dyDescent="0.25">
      <c r="A126" s="48" t="s">
        <v>790</v>
      </c>
      <c r="B126" s="48" t="s">
        <v>741</v>
      </c>
      <c r="C126" s="55" t="s">
        <v>742</v>
      </c>
      <c r="D126" s="50" t="s">
        <v>743</v>
      </c>
      <c r="E126" s="48" t="s">
        <v>753</v>
      </c>
      <c r="F126" s="51">
        <v>45771</v>
      </c>
      <c r="G126" s="48">
        <v>2025</v>
      </c>
      <c r="H126" s="53" t="s">
        <v>813</v>
      </c>
      <c r="I126" s="57" t="s">
        <v>814</v>
      </c>
      <c r="J126" s="53" t="s">
        <v>758</v>
      </c>
      <c r="K126" s="54">
        <v>1</v>
      </c>
    </row>
    <row r="127" spans="1:11" x14ac:dyDescent="0.25">
      <c r="A127" s="48" t="s">
        <v>29</v>
      </c>
      <c r="B127" s="48" t="s">
        <v>741</v>
      </c>
      <c r="C127" s="55" t="s">
        <v>742</v>
      </c>
      <c r="D127" s="50" t="s">
        <v>743</v>
      </c>
      <c r="E127" s="48" t="s">
        <v>753</v>
      </c>
      <c r="F127" s="51">
        <v>45771</v>
      </c>
      <c r="G127" s="48">
        <v>2025</v>
      </c>
      <c r="H127" s="53" t="s">
        <v>813</v>
      </c>
      <c r="I127" s="57" t="s">
        <v>814</v>
      </c>
      <c r="J127" s="53" t="s">
        <v>758</v>
      </c>
      <c r="K127" s="54">
        <v>1</v>
      </c>
    </row>
    <row r="128" spans="1:11" x14ac:dyDescent="0.25">
      <c r="A128" s="48" t="s">
        <v>795</v>
      </c>
      <c r="B128" s="48" t="s">
        <v>741</v>
      </c>
      <c r="C128" s="55" t="s">
        <v>742</v>
      </c>
      <c r="D128" s="50" t="s">
        <v>743</v>
      </c>
      <c r="E128" s="48" t="s">
        <v>753</v>
      </c>
      <c r="F128" s="51">
        <v>45771</v>
      </c>
      <c r="G128" s="48">
        <v>2025</v>
      </c>
      <c r="H128" s="53" t="s">
        <v>813</v>
      </c>
      <c r="I128" s="57" t="s">
        <v>814</v>
      </c>
      <c r="J128" s="53" t="s">
        <v>758</v>
      </c>
      <c r="K128" s="54">
        <v>1</v>
      </c>
    </row>
    <row r="129" spans="1:11" x14ac:dyDescent="0.25">
      <c r="A129" s="48" t="s">
        <v>805</v>
      </c>
      <c r="B129" s="48" t="s">
        <v>741</v>
      </c>
      <c r="C129" s="55" t="s">
        <v>742</v>
      </c>
      <c r="D129" s="50" t="s">
        <v>743</v>
      </c>
      <c r="E129" s="48" t="s">
        <v>753</v>
      </c>
      <c r="F129" s="51">
        <v>45771</v>
      </c>
      <c r="G129" s="48">
        <v>2025</v>
      </c>
      <c r="H129" s="53" t="s">
        <v>813</v>
      </c>
      <c r="I129" s="57" t="s">
        <v>814</v>
      </c>
      <c r="J129" s="53" t="s">
        <v>758</v>
      </c>
      <c r="K129" s="54">
        <v>1</v>
      </c>
    </row>
    <row r="130" spans="1:11" x14ac:dyDescent="0.25">
      <c r="A130" s="48" t="s">
        <v>803</v>
      </c>
      <c r="B130" s="48" t="s">
        <v>741</v>
      </c>
      <c r="C130" s="55" t="s">
        <v>742</v>
      </c>
      <c r="D130" s="50" t="s">
        <v>743</v>
      </c>
      <c r="E130" s="48" t="s">
        <v>762</v>
      </c>
      <c r="F130" s="51">
        <v>45798</v>
      </c>
      <c r="G130" s="48">
        <v>2025</v>
      </c>
      <c r="H130" s="53" t="s">
        <v>815</v>
      </c>
      <c r="I130" s="57" t="s">
        <v>816</v>
      </c>
      <c r="J130" s="53" t="s">
        <v>758</v>
      </c>
      <c r="K130" s="54">
        <v>1</v>
      </c>
    </row>
    <row r="131" spans="1:11" x14ac:dyDescent="0.25">
      <c r="A131" s="48" t="s">
        <v>804</v>
      </c>
      <c r="B131" s="48" t="s">
        <v>741</v>
      </c>
      <c r="C131" s="55" t="s">
        <v>742</v>
      </c>
      <c r="D131" s="50" t="s">
        <v>743</v>
      </c>
      <c r="E131" s="48" t="s">
        <v>762</v>
      </c>
      <c r="F131" s="51">
        <v>45798</v>
      </c>
      <c r="G131" s="48">
        <v>2025</v>
      </c>
      <c r="H131" s="53" t="s">
        <v>815</v>
      </c>
      <c r="I131" s="57" t="s">
        <v>816</v>
      </c>
      <c r="J131" s="53" t="s">
        <v>758</v>
      </c>
      <c r="K131" s="54">
        <v>1</v>
      </c>
    </row>
    <row r="132" spans="1:11" x14ac:dyDescent="0.25">
      <c r="A132" s="48" t="s">
        <v>92</v>
      </c>
      <c r="B132" s="48" t="s">
        <v>741</v>
      </c>
      <c r="C132" s="55" t="s">
        <v>742</v>
      </c>
      <c r="D132" s="50" t="s">
        <v>743</v>
      </c>
      <c r="E132" s="48" t="s">
        <v>762</v>
      </c>
      <c r="F132" s="51">
        <v>45798</v>
      </c>
      <c r="G132" s="48">
        <v>2025</v>
      </c>
      <c r="H132" s="53" t="s">
        <v>815</v>
      </c>
      <c r="I132" s="57" t="s">
        <v>816</v>
      </c>
      <c r="J132" s="53" t="s">
        <v>758</v>
      </c>
      <c r="K132" s="54">
        <v>1</v>
      </c>
    </row>
    <row r="133" spans="1:11" x14ac:dyDescent="0.25">
      <c r="A133" s="48" t="s">
        <v>43</v>
      </c>
      <c r="B133" s="48" t="s">
        <v>741</v>
      </c>
      <c r="C133" s="55" t="s">
        <v>742</v>
      </c>
      <c r="D133" s="50" t="s">
        <v>743</v>
      </c>
      <c r="E133" s="48" t="s">
        <v>762</v>
      </c>
      <c r="F133" s="51">
        <v>45798</v>
      </c>
      <c r="G133" s="48">
        <v>2025</v>
      </c>
      <c r="H133" s="53" t="s">
        <v>815</v>
      </c>
      <c r="I133" s="57" t="s">
        <v>816</v>
      </c>
      <c r="J133" s="53" t="s">
        <v>758</v>
      </c>
      <c r="K133" s="54">
        <v>1</v>
      </c>
    </row>
    <row r="134" spans="1:11" x14ac:dyDescent="0.25">
      <c r="A134" s="48" t="s">
        <v>29</v>
      </c>
      <c r="B134" s="48" t="s">
        <v>741</v>
      </c>
      <c r="C134" s="55" t="s">
        <v>742</v>
      </c>
      <c r="D134" s="50" t="s">
        <v>743</v>
      </c>
      <c r="E134" s="48" t="s">
        <v>762</v>
      </c>
      <c r="F134" s="51">
        <v>45798</v>
      </c>
      <c r="G134" s="48">
        <v>2025</v>
      </c>
      <c r="H134" s="53" t="s">
        <v>815</v>
      </c>
      <c r="I134" s="57" t="s">
        <v>816</v>
      </c>
      <c r="J134" s="53" t="s">
        <v>758</v>
      </c>
      <c r="K134" s="54">
        <v>1</v>
      </c>
    </row>
    <row r="135" spans="1:11" x14ac:dyDescent="0.25">
      <c r="A135" s="48" t="s">
        <v>30</v>
      </c>
      <c r="B135" s="48" t="s">
        <v>741</v>
      </c>
      <c r="C135" s="55" t="s">
        <v>742</v>
      </c>
      <c r="D135" s="50" t="s">
        <v>743</v>
      </c>
      <c r="E135" s="48" t="s">
        <v>762</v>
      </c>
      <c r="F135" s="51">
        <v>45798</v>
      </c>
      <c r="G135" s="48">
        <v>2025</v>
      </c>
      <c r="H135" s="53" t="s">
        <v>817</v>
      </c>
      <c r="I135" s="57" t="s">
        <v>816</v>
      </c>
      <c r="J135" s="53" t="s">
        <v>758</v>
      </c>
      <c r="K135" s="54">
        <v>1</v>
      </c>
    </row>
    <row r="136" spans="1:11" x14ac:dyDescent="0.25">
      <c r="A136" s="48" t="s">
        <v>782</v>
      </c>
      <c r="B136" s="48" t="s">
        <v>741</v>
      </c>
      <c r="C136" s="55" t="s">
        <v>742</v>
      </c>
      <c r="D136" s="50" t="s">
        <v>743</v>
      </c>
      <c r="E136" s="48" t="s">
        <v>765</v>
      </c>
      <c r="F136" s="51">
        <v>45832</v>
      </c>
      <c r="G136" s="48">
        <v>2025</v>
      </c>
      <c r="H136" s="53" t="s">
        <v>818</v>
      </c>
      <c r="I136" s="57" t="s">
        <v>819</v>
      </c>
      <c r="J136" s="53" t="s">
        <v>758</v>
      </c>
      <c r="K136" s="54">
        <v>1</v>
      </c>
    </row>
    <row r="137" spans="1:11" x14ac:dyDescent="0.25">
      <c r="A137" s="48" t="s">
        <v>784</v>
      </c>
      <c r="B137" s="48" t="s">
        <v>741</v>
      </c>
      <c r="C137" s="55" t="s">
        <v>742</v>
      </c>
      <c r="D137" s="50" t="s">
        <v>743</v>
      </c>
      <c r="E137" s="48" t="s">
        <v>765</v>
      </c>
      <c r="F137" s="51">
        <v>45832</v>
      </c>
      <c r="G137" s="48">
        <v>2025</v>
      </c>
      <c r="H137" s="53" t="s">
        <v>818</v>
      </c>
      <c r="I137" s="57" t="s">
        <v>819</v>
      </c>
      <c r="J137" s="53" t="s">
        <v>758</v>
      </c>
      <c r="K137" s="54">
        <v>1</v>
      </c>
    </row>
    <row r="138" spans="1:11" x14ac:dyDescent="0.25">
      <c r="A138" s="48" t="s">
        <v>803</v>
      </c>
      <c r="B138" s="48" t="s">
        <v>741</v>
      </c>
      <c r="C138" s="55" t="s">
        <v>742</v>
      </c>
      <c r="D138" s="50" t="s">
        <v>743</v>
      </c>
      <c r="E138" s="48" t="s">
        <v>765</v>
      </c>
      <c r="F138" s="51">
        <v>45832</v>
      </c>
      <c r="G138" s="48">
        <v>2025</v>
      </c>
      <c r="H138" s="53" t="s">
        <v>818</v>
      </c>
      <c r="I138" s="57" t="s">
        <v>819</v>
      </c>
      <c r="J138" s="53" t="s">
        <v>758</v>
      </c>
      <c r="K138" s="54">
        <v>1</v>
      </c>
    </row>
    <row r="139" spans="1:11" x14ac:dyDescent="0.25">
      <c r="A139" s="48" t="s">
        <v>820</v>
      </c>
      <c r="B139" s="48" t="s">
        <v>741</v>
      </c>
      <c r="C139" s="55" t="s">
        <v>742</v>
      </c>
      <c r="D139" s="50" t="s">
        <v>743</v>
      </c>
      <c r="E139" s="48" t="s">
        <v>765</v>
      </c>
      <c r="F139" s="51">
        <v>45832</v>
      </c>
      <c r="G139" s="48">
        <v>2025</v>
      </c>
      <c r="H139" s="53" t="s">
        <v>818</v>
      </c>
      <c r="I139" s="57" t="s">
        <v>819</v>
      </c>
      <c r="J139" s="53" t="s">
        <v>758</v>
      </c>
      <c r="K139" s="54">
        <v>1</v>
      </c>
    </row>
    <row r="140" spans="1:11" x14ac:dyDescent="0.25">
      <c r="A140" s="48" t="s">
        <v>89</v>
      </c>
      <c r="B140" s="48" t="s">
        <v>741</v>
      </c>
      <c r="C140" s="55" t="s">
        <v>742</v>
      </c>
      <c r="D140" s="50" t="s">
        <v>743</v>
      </c>
      <c r="E140" s="48" t="s">
        <v>765</v>
      </c>
      <c r="F140" s="51">
        <v>45832</v>
      </c>
      <c r="G140" s="48">
        <v>2025</v>
      </c>
      <c r="H140" s="53" t="s">
        <v>818</v>
      </c>
      <c r="I140" s="57" t="s">
        <v>819</v>
      </c>
      <c r="J140" s="53" t="s">
        <v>758</v>
      </c>
      <c r="K140" s="54">
        <v>1</v>
      </c>
    </row>
    <row r="141" spans="1:11" x14ac:dyDescent="0.25">
      <c r="A141" s="48" t="s">
        <v>29</v>
      </c>
      <c r="B141" s="48" t="s">
        <v>741</v>
      </c>
      <c r="C141" s="55" t="s">
        <v>742</v>
      </c>
      <c r="D141" s="50" t="s">
        <v>743</v>
      </c>
      <c r="E141" s="48" t="s">
        <v>765</v>
      </c>
      <c r="F141" s="51">
        <v>45832</v>
      </c>
      <c r="G141" s="48">
        <v>2025</v>
      </c>
      <c r="H141" s="53" t="s">
        <v>818</v>
      </c>
      <c r="I141" s="57" t="s">
        <v>819</v>
      </c>
      <c r="J141" s="53" t="s">
        <v>758</v>
      </c>
      <c r="K141" s="54">
        <v>1</v>
      </c>
    </row>
    <row r="142" spans="1:11" x14ac:dyDescent="0.25">
      <c r="A142" s="48" t="s">
        <v>795</v>
      </c>
      <c r="B142" s="48" t="s">
        <v>741</v>
      </c>
      <c r="C142" s="55" t="s">
        <v>742</v>
      </c>
      <c r="D142" s="50" t="s">
        <v>743</v>
      </c>
      <c r="E142" s="48" t="s">
        <v>765</v>
      </c>
      <c r="F142" s="51">
        <v>45832</v>
      </c>
      <c r="G142" s="48">
        <v>2025</v>
      </c>
      <c r="H142" s="53" t="s">
        <v>818</v>
      </c>
      <c r="I142" s="57" t="s">
        <v>819</v>
      </c>
      <c r="J142" s="53" t="s">
        <v>758</v>
      </c>
      <c r="K142" s="54">
        <v>1</v>
      </c>
    </row>
    <row r="143" spans="1:11" x14ac:dyDescent="0.25">
      <c r="A143" s="48" t="s">
        <v>805</v>
      </c>
      <c r="B143" s="48" t="s">
        <v>741</v>
      </c>
      <c r="C143" s="55" t="s">
        <v>742</v>
      </c>
      <c r="D143" s="50" t="s">
        <v>743</v>
      </c>
      <c r="E143" s="48" t="s">
        <v>765</v>
      </c>
      <c r="F143" s="51">
        <v>45832</v>
      </c>
      <c r="G143" s="48">
        <v>2025</v>
      </c>
      <c r="H143" s="53" t="s">
        <v>818</v>
      </c>
      <c r="I143" s="57" t="s">
        <v>819</v>
      </c>
      <c r="J143" s="53" t="s">
        <v>758</v>
      </c>
      <c r="K143" s="54">
        <v>1</v>
      </c>
    </row>
    <row r="144" spans="1:11" x14ac:dyDescent="0.25">
      <c r="A144" s="48" t="s">
        <v>803</v>
      </c>
      <c r="B144" s="48" t="s">
        <v>741</v>
      </c>
      <c r="C144" s="55" t="s">
        <v>742</v>
      </c>
      <c r="D144" s="50" t="s">
        <v>743</v>
      </c>
      <c r="E144" s="48" t="s">
        <v>770</v>
      </c>
      <c r="F144" s="51">
        <v>45859</v>
      </c>
      <c r="G144" s="48">
        <v>2025</v>
      </c>
      <c r="H144" s="53" t="s">
        <v>821</v>
      </c>
      <c r="I144" s="57" t="s">
        <v>822</v>
      </c>
      <c r="J144" s="53" t="s">
        <v>758</v>
      </c>
      <c r="K144" s="54">
        <v>1</v>
      </c>
    </row>
    <row r="145" spans="1:11" x14ac:dyDescent="0.25">
      <c r="A145" s="48" t="s">
        <v>66</v>
      </c>
      <c r="B145" s="48" t="s">
        <v>741</v>
      </c>
      <c r="C145" s="55" t="s">
        <v>742</v>
      </c>
      <c r="D145" s="50" t="s">
        <v>743</v>
      </c>
      <c r="E145" s="48" t="s">
        <v>770</v>
      </c>
      <c r="F145" s="51">
        <v>45859</v>
      </c>
      <c r="G145" s="48">
        <v>2025</v>
      </c>
      <c r="H145" s="53" t="s">
        <v>821</v>
      </c>
      <c r="I145" s="57" t="s">
        <v>822</v>
      </c>
      <c r="J145" s="53" t="s">
        <v>758</v>
      </c>
      <c r="K145" s="54">
        <v>1</v>
      </c>
    </row>
    <row r="146" spans="1:11" x14ac:dyDescent="0.25">
      <c r="A146" s="48" t="s">
        <v>804</v>
      </c>
      <c r="B146" s="48" t="s">
        <v>741</v>
      </c>
      <c r="C146" s="55" t="s">
        <v>742</v>
      </c>
      <c r="D146" s="50" t="s">
        <v>743</v>
      </c>
      <c r="E146" s="48" t="s">
        <v>770</v>
      </c>
      <c r="F146" s="51">
        <v>45859</v>
      </c>
      <c r="G146" s="48">
        <v>2025</v>
      </c>
      <c r="H146" s="53" t="s">
        <v>821</v>
      </c>
      <c r="I146" s="57" t="s">
        <v>822</v>
      </c>
      <c r="J146" s="53" t="s">
        <v>758</v>
      </c>
      <c r="K146" s="54">
        <v>1</v>
      </c>
    </row>
    <row r="147" spans="1:11" x14ac:dyDescent="0.25">
      <c r="A147" s="48" t="s">
        <v>113</v>
      </c>
      <c r="B147" s="48" t="s">
        <v>741</v>
      </c>
      <c r="C147" s="55" t="s">
        <v>742</v>
      </c>
      <c r="D147" s="50" t="s">
        <v>743</v>
      </c>
      <c r="E147" s="48" t="s">
        <v>770</v>
      </c>
      <c r="F147" s="51">
        <v>45859</v>
      </c>
      <c r="G147" s="48">
        <v>2025</v>
      </c>
      <c r="H147" s="53" t="s">
        <v>821</v>
      </c>
      <c r="I147" s="57" t="s">
        <v>822</v>
      </c>
      <c r="J147" s="53" t="s">
        <v>758</v>
      </c>
      <c r="K147" s="54">
        <v>1</v>
      </c>
    </row>
    <row r="148" spans="1:11" x14ac:dyDescent="0.25">
      <c r="A148" s="48" t="s">
        <v>92</v>
      </c>
      <c r="B148" s="48" t="s">
        <v>741</v>
      </c>
      <c r="C148" s="55" t="s">
        <v>742</v>
      </c>
      <c r="D148" s="50" t="s">
        <v>743</v>
      </c>
      <c r="E148" s="48" t="s">
        <v>770</v>
      </c>
      <c r="F148" s="51">
        <v>45859</v>
      </c>
      <c r="G148" s="48">
        <v>2025</v>
      </c>
      <c r="H148" s="53" t="s">
        <v>821</v>
      </c>
      <c r="I148" s="57" t="s">
        <v>822</v>
      </c>
      <c r="J148" s="53" t="s">
        <v>758</v>
      </c>
      <c r="K148" s="54">
        <v>1</v>
      </c>
    </row>
    <row r="149" spans="1:11" x14ac:dyDescent="0.25">
      <c r="A149" s="48" t="s">
        <v>43</v>
      </c>
      <c r="B149" s="48" t="s">
        <v>741</v>
      </c>
      <c r="C149" s="55" t="s">
        <v>742</v>
      </c>
      <c r="D149" s="50" t="s">
        <v>743</v>
      </c>
      <c r="E149" s="48" t="s">
        <v>770</v>
      </c>
      <c r="F149" s="51">
        <v>45859</v>
      </c>
      <c r="G149" s="48">
        <v>2025</v>
      </c>
      <c r="H149" s="53" t="s">
        <v>821</v>
      </c>
      <c r="I149" s="57" t="s">
        <v>822</v>
      </c>
      <c r="J149" s="53" t="s">
        <v>758</v>
      </c>
      <c r="K149" s="54">
        <v>1</v>
      </c>
    </row>
    <row r="150" spans="1:11" x14ac:dyDescent="0.25">
      <c r="A150" s="48" t="s">
        <v>29</v>
      </c>
      <c r="B150" s="48" t="s">
        <v>741</v>
      </c>
      <c r="C150" s="55" t="s">
        <v>742</v>
      </c>
      <c r="D150" s="50" t="s">
        <v>743</v>
      </c>
      <c r="E150" s="48" t="s">
        <v>770</v>
      </c>
      <c r="F150" s="51">
        <v>45859</v>
      </c>
      <c r="G150" s="48">
        <v>2025</v>
      </c>
      <c r="H150" s="53" t="s">
        <v>821</v>
      </c>
      <c r="I150" s="57" t="s">
        <v>822</v>
      </c>
      <c r="J150" s="53" t="s">
        <v>758</v>
      </c>
      <c r="K150" s="54">
        <v>1</v>
      </c>
    </row>
    <row r="151" spans="1:11" x14ac:dyDescent="0.25">
      <c r="A151" s="48" t="s">
        <v>795</v>
      </c>
      <c r="B151" s="48" t="s">
        <v>741</v>
      </c>
      <c r="C151" s="55" t="s">
        <v>742</v>
      </c>
      <c r="D151" s="50" t="s">
        <v>743</v>
      </c>
      <c r="E151" s="48" t="s">
        <v>770</v>
      </c>
      <c r="F151" s="51">
        <v>45859</v>
      </c>
      <c r="G151" s="48">
        <v>2025</v>
      </c>
      <c r="H151" s="53" t="s">
        <v>821</v>
      </c>
      <c r="I151" s="57" t="s">
        <v>822</v>
      </c>
      <c r="J151" s="53" t="s">
        <v>758</v>
      </c>
      <c r="K151" s="54">
        <v>1</v>
      </c>
    </row>
    <row r="152" spans="1:11" x14ac:dyDescent="0.25">
      <c r="A152" s="48" t="s">
        <v>823</v>
      </c>
      <c r="B152" s="48" t="s">
        <v>741</v>
      </c>
      <c r="C152" s="55" t="s">
        <v>742</v>
      </c>
      <c r="D152" s="50" t="s">
        <v>743</v>
      </c>
      <c r="E152" s="48" t="s">
        <v>770</v>
      </c>
      <c r="F152" s="51">
        <v>45859</v>
      </c>
      <c r="G152" s="48">
        <v>2025</v>
      </c>
      <c r="H152" s="53" t="s">
        <v>821</v>
      </c>
      <c r="I152" s="57" t="s">
        <v>822</v>
      </c>
      <c r="J152" s="53" t="s">
        <v>758</v>
      </c>
      <c r="K152" s="54">
        <v>1</v>
      </c>
    </row>
    <row r="153" spans="1:11" x14ac:dyDescent="0.25">
      <c r="A153" s="48" t="s">
        <v>782</v>
      </c>
      <c r="B153" s="48" t="s">
        <v>741</v>
      </c>
      <c r="C153" s="55" t="s">
        <v>742</v>
      </c>
      <c r="D153" s="50" t="s">
        <v>743</v>
      </c>
      <c r="E153" s="48" t="s">
        <v>774</v>
      </c>
      <c r="F153" s="51">
        <v>45894</v>
      </c>
      <c r="G153" s="48">
        <v>2025</v>
      </c>
      <c r="H153" s="53" t="s">
        <v>824</v>
      </c>
      <c r="I153" s="57" t="s">
        <v>825</v>
      </c>
      <c r="J153" s="53" t="s">
        <v>758</v>
      </c>
      <c r="K153" s="54">
        <v>1</v>
      </c>
    </row>
    <row r="154" spans="1:11" x14ac:dyDescent="0.25">
      <c r="A154" s="48" t="s">
        <v>73</v>
      </c>
      <c r="B154" s="48" t="s">
        <v>741</v>
      </c>
      <c r="C154" s="55" t="s">
        <v>742</v>
      </c>
      <c r="D154" s="50" t="s">
        <v>743</v>
      </c>
      <c r="E154" s="48" t="s">
        <v>774</v>
      </c>
      <c r="F154" s="51">
        <v>45894</v>
      </c>
      <c r="G154" s="48">
        <v>2025</v>
      </c>
      <c r="H154" s="53" t="s">
        <v>824</v>
      </c>
      <c r="I154" s="57" t="s">
        <v>825</v>
      </c>
      <c r="J154" s="53" t="s">
        <v>758</v>
      </c>
      <c r="K154" s="54">
        <v>1</v>
      </c>
    </row>
    <row r="155" spans="1:11" x14ac:dyDescent="0.25">
      <c r="A155" s="48" t="s">
        <v>803</v>
      </c>
      <c r="B155" s="48" t="s">
        <v>741</v>
      </c>
      <c r="C155" s="55" t="s">
        <v>742</v>
      </c>
      <c r="D155" s="50" t="s">
        <v>743</v>
      </c>
      <c r="E155" s="48" t="s">
        <v>774</v>
      </c>
      <c r="F155" s="51">
        <v>45894</v>
      </c>
      <c r="G155" s="48">
        <v>2025</v>
      </c>
      <c r="H155" s="53" t="s">
        <v>824</v>
      </c>
      <c r="I155" s="57" t="s">
        <v>825</v>
      </c>
      <c r="J155" s="53" t="s">
        <v>758</v>
      </c>
      <c r="K155" s="54">
        <v>1</v>
      </c>
    </row>
    <row r="156" spans="1:11" x14ac:dyDescent="0.25">
      <c r="A156" s="48" t="s">
        <v>92</v>
      </c>
      <c r="B156" s="48" t="s">
        <v>741</v>
      </c>
      <c r="C156" s="55" t="s">
        <v>742</v>
      </c>
      <c r="D156" s="50" t="s">
        <v>743</v>
      </c>
      <c r="E156" s="48" t="s">
        <v>774</v>
      </c>
      <c r="F156" s="51">
        <v>45894</v>
      </c>
      <c r="G156" s="48">
        <v>2025</v>
      </c>
      <c r="H156" s="53" t="s">
        <v>824</v>
      </c>
      <c r="I156" s="57" t="s">
        <v>825</v>
      </c>
      <c r="J156" s="53" t="s">
        <v>758</v>
      </c>
      <c r="K156" s="54">
        <v>1</v>
      </c>
    </row>
    <row r="157" spans="1:11" x14ac:dyDescent="0.25">
      <c r="A157" s="48" t="s">
        <v>795</v>
      </c>
      <c r="B157" s="48" t="s">
        <v>741</v>
      </c>
      <c r="C157" s="55" t="s">
        <v>742</v>
      </c>
      <c r="D157" s="50" t="s">
        <v>743</v>
      </c>
      <c r="E157" s="48" t="s">
        <v>774</v>
      </c>
      <c r="F157" s="51">
        <v>45894</v>
      </c>
      <c r="G157" s="48">
        <v>2025</v>
      </c>
      <c r="H157" s="53" t="s">
        <v>824</v>
      </c>
      <c r="I157" s="57" t="s">
        <v>825</v>
      </c>
      <c r="J157" s="53" t="s">
        <v>758</v>
      </c>
      <c r="K157" s="54">
        <v>1</v>
      </c>
    </row>
    <row r="158" spans="1:11" x14ac:dyDescent="0.25">
      <c r="A158" s="48" t="s">
        <v>823</v>
      </c>
      <c r="B158" s="48" t="s">
        <v>741</v>
      </c>
      <c r="C158" s="55" t="s">
        <v>742</v>
      </c>
      <c r="D158" s="50" t="s">
        <v>743</v>
      </c>
      <c r="E158" s="48" t="s">
        <v>774</v>
      </c>
      <c r="F158" s="51">
        <v>45894</v>
      </c>
      <c r="G158" s="48">
        <v>2025</v>
      </c>
      <c r="H158" s="53" t="s">
        <v>824</v>
      </c>
      <c r="I158" s="57" t="s">
        <v>825</v>
      </c>
      <c r="J158" s="53" t="s">
        <v>758</v>
      </c>
      <c r="K158" s="54">
        <v>1</v>
      </c>
    </row>
    <row r="159" spans="1:11" x14ac:dyDescent="0.25">
      <c r="A159" s="48" t="s">
        <v>73</v>
      </c>
      <c r="B159" s="48" t="s">
        <v>741</v>
      </c>
      <c r="C159" s="55" t="s">
        <v>742</v>
      </c>
      <c r="D159" s="50" t="s">
        <v>743</v>
      </c>
      <c r="E159" s="48" t="s">
        <v>777</v>
      </c>
      <c r="F159" s="51">
        <v>45924</v>
      </c>
      <c r="G159" s="48">
        <v>2025</v>
      </c>
      <c r="H159" s="53" t="s">
        <v>826</v>
      </c>
      <c r="I159" s="57" t="s">
        <v>827</v>
      </c>
      <c r="J159" s="53" t="s">
        <v>758</v>
      </c>
      <c r="K159" s="54">
        <v>1</v>
      </c>
    </row>
    <row r="160" spans="1:11" x14ac:dyDescent="0.25">
      <c r="A160" s="48" t="s">
        <v>803</v>
      </c>
      <c r="B160" s="48" t="s">
        <v>741</v>
      </c>
      <c r="C160" s="55" t="s">
        <v>742</v>
      </c>
      <c r="D160" s="50" t="s">
        <v>743</v>
      </c>
      <c r="E160" s="48" t="s">
        <v>777</v>
      </c>
      <c r="F160" s="51">
        <v>45924</v>
      </c>
      <c r="G160" s="48">
        <v>2025</v>
      </c>
      <c r="H160" s="53" t="s">
        <v>826</v>
      </c>
      <c r="I160" s="57" t="s">
        <v>827</v>
      </c>
      <c r="J160" s="53" t="s">
        <v>758</v>
      </c>
      <c r="K160" s="54">
        <v>1</v>
      </c>
    </row>
    <row r="161" spans="1:11" x14ac:dyDescent="0.25">
      <c r="A161" s="48" t="s">
        <v>820</v>
      </c>
      <c r="B161" s="48" t="s">
        <v>741</v>
      </c>
      <c r="C161" s="55" t="s">
        <v>742</v>
      </c>
      <c r="D161" s="50" t="s">
        <v>743</v>
      </c>
      <c r="E161" s="48" t="s">
        <v>777</v>
      </c>
      <c r="F161" s="51">
        <v>45924</v>
      </c>
      <c r="G161" s="48">
        <v>2025</v>
      </c>
      <c r="H161" s="53" t="s">
        <v>826</v>
      </c>
      <c r="I161" s="57" t="s">
        <v>827</v>
      </c>
      <c r="J161" s="53" t="s">
        <v>758</v>
      </c>
      <c r="K161" s="54">
        <v>1</v>
      </c>
    </row>
    <row r="162" spans="1:11" x14ac:dyDescent="0.25">
      <c r="A162" s="48" t="s">
        <v>66</v>
      </c>
      <c r="B162" s="48" t="s">
        <v>741</v>
      </c>
      <c r="C162" s="55" t="s">
        <v>742</v>
      </c>
      <c r="D162" s="50" t="s">
        <v>743</v>
      </c>
      <c r="E162" s="48" t="s">
        <v>777</v>
      </c>
      <c r="F162" s="51">
        <v>45924</v>
      </c>
      <c r="G162" s="48">
        <v>2025</v>
      </c>
      <c r="H162" s="53" t="s">
        <v>826</v>
      </c>
      <c r="I162" s="57" t="s">
        <v>827</v>
      </c>
      <c r="J162" s="53" t="s">
        <v>758</v>
      </c>
      <c r="K162" s="54">
        <v>1</v>
      </c>
    </row>
    <row r="163" spans="1:11" x14ac:dyDescent="0.25">
      <c r="A163" s="48" t="s">
        <v>92</v>
      </c>
      <c r="B163" s="48" t="s">
        <v>741</v>
      </c>
      <c r="C163" s="55" t="s">
        <v>742</v>
      </c>
      <c r="D163" s="50" t="s">
        <v>743</v>
      </c>
      <c r="E163" s="48" t="s">
        <v>777</v>
      </c>
      <c r="F163" s="51">
        <v>45924</v>
      </c>
      <c r="G163" s="48">
        <v>2025</v>
      </c>
      <c r="H163" s="53" t="s">
        <v>826</v>
      </c>
      <c r="I163" s="57" t="s">
        <v>827</v>
      </c>
      <c r="J163" s="53" t="s">
        <v>758</v>
      </c>
      <c r="K163" s="54">
        <v>1</v>
      </c>
    </row>
    <row r="164" spans="1:11" x14ac:dyDescent="0.25">
      <c r="A164" s="48" t="s">
        <v>89</v>
      </c>
      <c r="B164" s="48" t="s">
        <v>741</v>
      </c>
      <c r="C164" s="55" t="s">
        <v>742</v>
      </c>
      <c r="D164" s="50" t="s">
        <v>743</v>
      </c>
      <c r="E164" s="48" t="s">
        <v>777</v>
      </c>
      <c r="F164" s="51">
        <v>45924</v>
      </c>
      <c r="G164" s="48">
        <v>2025</v>
      </c>
      <c r="H164" s="53" t="s">
        <v>826</v>
      </c>
      <c r="I164" s="57" t="s">
        <v>827</v>
      </c>
      <c r="J164" s="53" t="s">
        <v>758</v>
      </c>
      <c r="K164" s="54">
        <v>1</v>
      </c>
    </row>
    <row r="165" spans="1:11" x14ac:dyDescent="0.25">
      <c r="A165" s="48" t="s">
        <v>29</v>
      </c>
      <c r="B165" s="48" t="s">
        <v>741</v>
      </c>
      <c r="C165" s="55" t="s">
        <v>742</v>
      </c>
      <c r="D165" s="50" t="s">
        <v>743</v>
      </c>
      <c r="E165" s="48" t="s">
        <v>777</v>
      </c>
      <c r="F165" s="51">
        <v>45924</v>
      </c>
      <c r="G165" s="48">
        <v>2025</v>
      </c>
      <c r="H165" s="53" t="s">
        <v>826</v>
      </c>
      <c r="I165" s="57" t="s">
        <v>827</v>
      </c>
      <c r="J165" s="53" t="s">
        <v>758</v>
      </c>
      <c r="K165" s="54">
        <v>1</v>
      </c>
    </row>
    <row r="166" spans="1:11" x14ac:dyDescent="0.25">
      <c r="A166" s="48" t="s">
        <v>795</v>
      </c>
      <c r="B166" s="48" t="s">
        <v>741</v>
      </c>
      <c r="C166" s="55" t="s">
        <v>742</v>
      </c>
      <c r="D166" s="50" t="s">
        <v>743</v>
      </c>
      <c r="E166" s="48" t="s">
        <v>777</v>
      </c>
      <c r="F166" s="51">
        <v>45924</v>
      </c>
      <c r="G166" s="48">
        <v>2025</v>
      </c>
      <c r="H166" s="53" t="s">
        <v>826</v>
      </c>
      <c r="I166" s="57" t="s">
        <v>827</v>
      </c>
      <c r="J166" s="53" t="s">
        <v>758</v>
      </c>
      <c r="K166" s="54">
        <v>1</v>
      </c>
    </row>
    <row r="167" spans="1:11" x14ac:dyDescent="0.25">
      <c r="A167" s="48" t="s">
        <v>823</v>
      </c>
      <c r="B167" s="48" t="s">
        <v>741</v>
      </c>
      <c r="C167" s="55" t="s">
        <v>742</v>
      </c>
      <c r="D167" s="50" t="s">
        <v>743</v>
      </c>
      <c r="E167" s="48" t="s">
        <v>777</v>
      </c>
      <c r="F167" s="51">
        <v>45924</v>
      </c>
      <c r="G167" s="48">
        <v>2025</v>
      </c>
      <c r="H167" s="53" t="s">
        <v>826</v>
      </c>
      <c r="I167" s="57" t="s">
        <v>827</v>
      </c>
      <c r="J167" s="53" t="s">
        <v>758</v>
      </c>
      <c r="K167" s="54">
        <v>1</v>
      </c>
    </row>
    <row r="168" spans="1:11" x14ac:dyDescent="0.25">
      <c r="A168" s="48" t="s">
        <v>73</v>
      </c>
      <c r="B168" s="48" t="s">
        <v>741</v>
      </c>
      <c r="C168" s="55" t="s">
        <v>742</v>
      </c>
      <c r="D168" s="50" t="s">
        <v>743</v>
      </c>
      <c r="E168" s="48" t="s">
        <v>787</v>
      </c>
      <c r="F168" s="51">
        <v>45950</v>
      </c>
      <c r="G168" s="48">
        <v>2025</v>
      </c>
      <c r="H168" s="53" t="s">
        <v>828</v>
      </c>
      <c r="I168" s="57" t="s">
        <v>829</v>
      </c>
      <c r="J168" s="53" t="s">
        <v>758</v>
      </c>
      <c r="K168" s="54">
        <v>1</v>
      </c>
    </row>
    <row r="169" spans="1:11" x14ac:dyDescent="0.25">
      <c r="A169" s="48" t="s">
        <v>803</v>
      </c>
      <c r="B169" s="48" t="s">
        <v>741</v>
      </c>
      <c r="C169" s="55" t="s">
        <v>742</v>
      </c>
      <c r="D169" s="50" t="s">
        <v>743</v>
      </c>
      <c r="E169" s="48" t="s">
        <v>787</v>
      </c>
      <c r="F169" s="51">
        <v>45950</v>
      </c>
      <c r="G169" s="48">
        <v>2025</v>
      </c>
      <c r="H169" s="53" t="s">
        <v>828</v>
      </c>
      <c r="I169" s="57" t="s">
        <v>829</v>
      </c>
      <c r="J169" s="53" t="s">
        <v>758</v>
      </c>
      <c r="K169" s="54">
        <v>1</v>
      </c>
    </row>
    <row r="170" spans="1:11" x14ac:dyDescent="0.25">
      <c r="A170" s="48" t="s">
        <v>92</v>
      </c>
      <c r="B170" s="48" t="s">
        <v>741</v>
      </c>
      <c r="C170" s="55" t="s">
        <v>742</v>
      </c>
      <c r="D170" s="50" t="s">
        <v>743</v>
      </c>
      <c r="E170" s="48" t="s">
        <v>787</v>
      </c>
      <c r="F170" s="51">
        <v>45950</v>
      </c>
      <c r="G170" s="48">
        <v>2025</v>
      </c>
      <c r="H170" s="53" t="s">
        <v>828</v>
      </c>
      <c r="I170" s="57" t="s">
        <v>829</v>
      </c>
      <c r="J170" s="53" t="s">
        <v>758</v>
      </c>
      <c r="K170" s="54">
        <v>1</v>
      </c>
    </row>
    <row r="171" spans="1:11" x14ac:dyDescent="0.25">
      <c r="A171" s="48" t="s">
        <v>36</v>
      </c>
      <c r="B171" s="48" t="s">
        <v>741</v>
      </c>
      <c r="C171" s="55" t="s">
        <v>742</v>
      </c>
      <c r="D171" s="50" t="s">
        <v>743</v>
      </c>
      <c r="E171" s="48" t="s">
        <v>787</v>
      </c>
      <c r="F171" s="51">
        <v>45950</v>
      </c>
      <c r="G171" s="48">
        <v>2025</v>
      </c>
      <c r="H171" s="53" t="s">
        <v>828</v>
      </c>
      <c r="I171" s="57" t="s">
        <v>829</v>
      </c>
      <c r="J171" s="53" t="s">
        <v>758</v>
      </c>
      <c r="K171" s="54">
        <v>1</v>
      </c>
    </row>
    <row r="172" spans="1:11" x14ac:dyDescent="0.25">
      <c r="A172" s="48" t="s">
        <v>790</v>
      </c>
      <c r="B172" s="48" t="s">
        <v>741</v>
      </c>
      <c r="C172" s="55" t="s">
        <v>742</v>
      </c>
      <c r="D172" s="50" t="s">
        <v>743</v>
      </c>
      <c r="E172" s="48" t="s">
        <v>787</v>
      </c>
      <c r="F172" s="51">
        <v>45950</v>
      </c>
      <c r="G172" s="48">
        <v>2025</v>
      </c>
      <c r="H172" s="53" t="s">
        <v>828</v>
      </c>
      <c r="I172" s="57" t="s">
        <v>829</v>
      </c>
      <c r="J172" s="53" t="s">
        <v>758</v>
      </c>
      <c r="K172" s="54">
        <v>1</v>
      </c>
    </row>
    <row r="173" spans="1:11" x14ac:dyDescent="0.25">
      <c r="A173" s="48" t="s">
        <v>29</v>
      </c>
      <c r="B173" s="48" t="s">
        <v>741</v>
      </c>
      <c r="C173" s="55" t="s">
        <v>742</v>
      </c>
      <c r="D173" s="50" t="s">
        <v>743</v>
      </c>
      <c r="E173" s="48" t="s">
        <v>787</v>
      </c>
      <c r="F173" s="51">
        <v>45950</v>
      </c>
      <c r="G173" s="48">
        <v>2025</v>
      </c>
      <c r="H173" s="53" t="s">
        <v>828</v>
      </c>
      <c r="I173" s="57" t="s">
        <v>829</v>
      </c>
      <c r="J173" s="53" t="s">
        <v>758</v>
      </c>
      <c r="K173" s="54">
        <v>1</v>
      </c>
    </row>
    <row r="174" spans="1:11" x14ac:dyDescent="0.25">
      <c r="A174" s="48" t="s">
        <v>795</v>
      </c>
      <c r="B174" s="48" t="s">
        <v>741</v>
      </c>
      <c r="C174" s="55" t="s">
        <v>742</v>
      </c>
      <c r="D174" s="50" t="s">
        <v>743</v>
      </c>
      <c r="E174" s="48" t="s">
        <v>787</v>
      </c>
      <c r="F174" s="51">
        <v>45950</v>
      </c>
      <c r="G174" s="48">
        <v>2025</v>
      </c>
      <c r="H174" s="53" t="s">
        <v>828</v>
      </c>
      <c r="I174" s="57" t="s">
        <v>829</v>
      </c>
      <c r="J174" s="53" t="s">
        <v>758</v>
      </c>
      <c r="K174" s="54">
        <v>1</v>
      </c>
    </row>
    <row r="175" spans="1:11" x14ac:dyDescent="0.25">
      <c r="A175" s="48" t="s">
        <v>823</v>
      </c>
      <c r="B175" s="48" t="s">
        <v>741</v>
      </c>
      <c r="C175" s="55" t="s">
        <v>742</v>
      </c>
      <c r="D175" s="50" t="s">
        <v>743</v>
      </c>
      <c r="E175" s="48" t="s">
        <v>787</v>
      </c>
      <c r="F175" s="51">
        <v>45950</v>
      </c>
      <c r="G175" s="48">
        <v>2025</v>
      </c>
      <c r="H175" s="53" t="s">
        <v>828</v>
      </c>
      <c r="I175" s="57" t="s">
        <v>829</v>
      </c>
      <c r="J175" s="53" t="s">
        <v>758</v>
      </c>
      <c r="K175" s="54">
        <v>1</v>
      </c>
    </row>
    <row r="176" spans="1:11" x14ac:dyDescent="0.25">
      <c r="A176" s="48" t="s">
        <v>803</v>
      </c>
      <c r="B176" s="48" t="s">
        <v>741</v>
      </c>
      <c r="C176" s="55" t="s">
        <v>742</v>
      </c>
      <c r="D176" s="50" t="s">
        <v>743</v>
      </c>
      <c r="E176" s="48" t="s">
        <v>791</v>
      </c>
      <c r="F176" s="51">
        <v>45979</v>
      </c>
      <c r="G176" s="48">
        <v>2025</v>
      </c>
      <c r="H176" s="53" t="s">
        <v>830</v>
      </c>
      <c r="I176" s="57" t="s">
        <v>831</v>
      </c>
      <c r="J176" s="53" t="s">
        <v>758</v>
      </c>
      <c r="K176" s="54">
        <v>1</v>
      </c>
    </row>
    <row r="177" spans="1:11" x14ac:dyDescent="0.25">
      <c r="A177" s="48" t="s">
        <v>30</v>
      </c>
      <c r="B177" s="48" t="s">
        <v>741</v>
      </c>
      <c r="C177" s="55" t="s">
        <v>742</v>
      </c>
      <c r="D177" s="50" t="s">
        <v>743</v>
      </c>
      <c r="E177" s="48" t="s">
        <v>791</v>
      </c>
      <c r="F177" s="51">
        <v>45979</v>
      </c>
      <c r="G177" s="48">
        <v>2025</v>
      </c>
      <c r="H177" s="53" t="s">
        <v>830</v>
      </c>
      <c r="I177" s="57" t="s">
        <v>831</v>
      </c>
      <c r="J177" s="53" t="s">
        <v>758</v>
      </c>
      <c r="K177" s="54">
        <v>1</v>
      </c>
    </row>
    <row r="178" spans="1:11" x14ac:dyDescent="0.25">
      <c r="A178" s="48" t="s">
        <v>92</v>
      </c>
      <c r="B178" s="48" t="s">
        <v>741</v>
      </c>
      <c r="C178" s="55" t="s">
        <v>742</v>
      </c>
      <c r="D178" s="50" t="s">
        <v>743</v>
      </c>
      <c r="E178" s="48" t="s">
        <v>791</v>
      </c>
      <c r="F178" s="51">
        <v>45979</v>
      </c>
      <c r="G178" s="48">
        <v>2025</v>
      </c>
      <c r="H178" s="53" t="s">
        <v>830</v>
      </c>
      <c r="I178" s="57" t="s">
        <v>831</v>
      </c>
      <c r="J178" s="53" t="s">
        <v>758</v>
      </c>
      <c r="K178" s="54">
        <v>1</v>
      </c>
    </row>
    <row r="179" spans="1:11" x14ac:dyDescent="0.25">
      <c r="A179" s="48" t="s">
        <v>803</v>
      </c>
      <c r="B179" s="48" t="s">
        <v>741</v>
      </c>
      <c r="C179" s="55" t="s">
        <v>742</v>
      </c>
      <c r="D179" s="50" t="s">
        <v>743</v>
      </c>
      <c r="E179" s="48" t="s">
        <v>796</v>
      </c>
      <c r="F179" s="51">
        <v>46009</v>
      </c>
      <c r="G179" s="48">
        <v>2025</v>
      </c>
      <c r="H179" s="53" t="s">
        <v>832</v>
      </c>
      <c r="I179" s="57" t="s">
        <v>833</v>
      </c>
      <c r="J179" s="53" t="s">
        <v>758</v>
      </c>
      <c r="K179" s="54">
        <v>1</v>
      </c>
    </row>
    <row r="180" spans="1:11" x14ac:dyDescent="0.25">
      <c r="A180" s="48" t="s">
        <v>823</v>
      </c>
      <c r="B180" s="48" t="s">
        <v>741</v>
      </c>
      <c r="C180" s="55" t="s">
        <v>742</v>
      </c>
      <c r="D180" s="50" t="s">
        <v>743</v>
      </c>
      <c r="E180" s="48" t="s">
        <v>796</v>
      </c>
      <c r="F180" s="51">
        <v>46009</v>
      </c>
      <c r="G180" s="48">
        <v>2025</v>
      </c>
      <c r="H180" s="53" t="s">
        <v>832</v>
      </c>
      <c r="I180" s="57" t="s">
        <v>833</v>
      </c>
      <c r="J180" s="53" t="s">
        <v>758</v>
      </c>
      <c r="K180" s="54">
        <v>1</v>
      </c>
    </row>
    <row r="181" spans="1:11" x14ac:dyDescent="0.25">
      <c r="A181" s="48" t="s">
        <v>92</v>
      </c>
      <c r="B181" s="48" t="s">
        <v>741</v>
      </c>
      <c r="C181" s="55" t="s">
        <v>742</v>
      </c>
      <c r="D181" s="50" t="s">
        <v>743</v>
      </c>
      <c r="E181" s="48" t="s">
        <v>796</v>
      </c>
      <c r="F181" s="51">
        <v>46009</v>
      </c>
      <c r="G181" s="48">
        <v>2025</v>
      </c>
      <c r="H181" s="53" t="s">
        <v>832</v>
      </c>
      <c r="I181" s="57" t="s">
        <v>833</v>
      </c>
      <c r="J181" s="53" t="s">
        <v>758</v>
      </c>
      <c r="K181" s="54">
        <v>1</v>
      </c>
    </row>
    <row r="182" spans="1:11" x14ac:dyDescent="0.25">
      <c r="A182" s="48" t="s">
        <v>73</v>
      </c>
      <c r="B182" s="48" t="s">
        <v>741</v>
      </c>
      <c r="C182" s="55" t="s">
        <v>742</v>
      </c>
      <c r="D182" s="50" t="s">
        <v>743</v>
      </c>
      <c r="E182" s="48" t="s">
        <v>744</v>
      </c>
      <c r="F182" s="51">
        <v>46048</v>
      </c>
      <c r="G182" s="48">
        <v>2025</v>
      </c>
      <c r="H182" s="53" t="s">
        <v>834</v>
      </c>
      <c r="I182" s="57" t="s">
        <v>835</v>
      </c>
      <c r="J182" s="53" t="s">
        <v>758</v>
      </c>
      <c r="K182" s="54">
        <v>1</v>
      </c>
    </row>
    <row r="183" spans="1:11" x14ac:dyDescent="0.25">
      <c r="A183" s="48" t="s">
        <v>820</v>
      </c>
      <c r="B183" s="48" t="s">
        <v>741</v>
      </c>
      <c r="C183" s="55" t="s">
        <v>742</v>
      </c>
      <c r="D183" s="50" t="s">
        <v>743</v>
      </c>
      <c r="E183" s="48" t="s">
        <v>744</v>
      </c>
      <c r="F183" s="51">
        <v>46048</v>
      </c>
      <c r="G183" s="48">
        <v>2025</v>
      </c>
      <c r="H183" s="53" t="s">
        <v>834</v>
      </c>
      <c r="I183" s="57" t="s">
        <v>835</v>
      </c>
      <c r="J183" s="53" t="s">
        <v>758</v>
      </c>
      <c r="K183" s="54">
        <v>1</v>
      </c>
    </row>
    <row r="184" spans="1:11" x14ac:dyDescent="0.25">
      <c r="A184" s="48" t="s">
        <v>66</v>
      </c>
      <c r="B184" s="48" t="s">
        <v>741</v>
      </c>
      <c r="C184" s="55" t="s">
        <v>742</v>
      </c>
      <c r="D184" s="50" t="s">
        <v>743</v>
      </c>
      <c r="E184" s="48" t="s">
        <v>744</v>
      </c>
      <c r="F184" s="51">
        <v>46048</v>
      </c>
      <c r="G184" s="48">
        <v>2025</v>
      </c>
      <c r="H184" s="53" t="s">
        <v>834</v>
      </c>
      <c r="I184" s="57" t="s">
        <v>835</v>
      </c>
      <c r="J184" s="53" t="s">
        <v>758</v>
      </c>
      <c r="K184" s="54">
        <v>1</v>
      </c>
    </row>
    <row r="185" spans="1:11" x14ac:dyDescent="0.25">
      <c r="A185" s="48" t="s">
        <v>836</v>
      </c>
      <c r="B185" s="48" t="s">
        <v>741</v>
      </c>
      <c r="C185" s="55" t="s">
        <v>742</v>
      </c>
      <c r="D185" s="50" t="s">
        <v>743</v>
      </c>
      <c r="E185" s="48" t="s">
        <v>744</v>
      </c>
      <c r="F185" s="51">
        <v>46048</v>
      </c>
      <c r="G185" s="48">
        <v>2025</v>
      </c>
      <c r="H185" s="53" t="s">
        <v>834</v>
      </c>
      <c r="I185" s="57" t="s">
        <v>835</v>
      </c>
      <c r="J185" s="53" t="s">
        <v>758</v>
      </c>
      <c r="K185" s="54">
        <v>1</v>
      </c>
    </row>
    <row r="186" spans="1:11" x14ac:dyDescent="0.25">
      <c r="A186" s="48" t="s">
        <v>36</v>
      </c>
      <c r="B186" s="48" t="s">
        <v>741</v>
      </c>
      <c r="C186" s="55" t="s">
        <v>742</v>
      </c>
      <c r="D186" s="50" t="s">
        <v>743</v>
      </c>
      <c r="E186" s="48" t="s">
        <v>744</v>
      </c>
      <c r="F186" s="51">
        <v>46048</v>
      </c>
      <c r="G186" s="48">
        <v>2025</v>
      </c>
      <c r="H186" s="53" t="s">
        <v>834</v>
      </c>
      <c r="I186" s="57" t="s">
        <v>835</v>
      </c>
      <c r="J186" s="53" t="s">
        <v>758</v>
      </c>
      <c r="K186" s="54">
        <v>1</v>
      </c>
    </row>
    <row r="187" spans="1:11" x14ac:dyDescent="0.25">
      <c r="A187" s="48" t="s">
        <v>92</v>
      </c>
      <c r="B187" s="48" t="s">
        <v>741</v>
      </c>
      <c r="C187" s="55" t="s">
        <v>742</v>
      </c>
      <c r="D187" s="50" t="s">
        <v>743</v>
      </c>
      <c r="E187" s="48" t="s">
        <v>744</v>
      </c>
      <c r="F187" s="51">
        <v>46048</v>
      </c>
      <c r="G187" s="48">
        <v>2025</v>
      </c>
      <c r="H187" s="53" t="s">
        <v>834</v>
      </c>
      <c r="I187" s="57" t="s">
        <v>835</v>
      </c>
      <c r="J187" s="53" t="s">
        <v>758</v>
      </c>
      <c r="K187" s="54">
        <v>1</v>
      </c>
    </row>
    <row r="188" spans="1:11" x14ac:dyDescent="0.25">
      <c r="A188" s="48" t="s">
        <v>790</v>
      </c>
      <c r="B188" s="48" t="s">
        <v>741</v>
      </c>
      <c r="C188" s="55" t="s">
        <v>742</v>
      </c>
      <c r="D188" s="50" t="s">
        <v>743</v>
      </c>
      <c r="E188" s="48" t="s">
        <v>744</v>
      </c>
      <c r="F188" s="51">
        <v>46048</v>
      </c>
      <c r="G188" s="48">
        <v>2025</v>
      </c>
      <c r="H188" s="53" t="s">
        <v>834</v>
      </c>
      <c r="I188" s="57" t="s">
        <v>835</v>
      </c>
      <c r="J188" s="53" t="s">
        <v>758</v>
      </c>
      <c r="K188" s="54">
        <v>1</v>
      </c>
    </row>
    <row r="189" spans="1:11" s="37" customFormat="1" x14ac:dyDescent="0.25">
      <c r="A189" s="58" t="s">
        <v>66</v>
      </c>
      <c r="B189" s="58" t="s">
        <v>741</v>
      </c>
      <c r="C189" s="59" t="s">
        <v>742</v>
      </c>
      <c r="D189" s="60" t="s">
        <v>743</v>
      </c>
      <c r="E189" s="58" t="s">
        <v>750</v>
      </c>
      <c r="F189" s="61">
        <v>46070</v>
      </c>
      <c r="G189" s="58">
        <v>2026</v>
      </c>
      <c r="H189" s="62" t="s">
        <v>837</v>
      </c>
      <c r="I189" s="63" t="s">
        <v>838</v>
      </c>
      <c r="J189" s="62" t="s">
        <v>758</v>
      </c>
      <c r="K189" s="64">
        <v>1</v>
      </c>
    </row>
    <row r="190" spans="1:11" s="37" customFormat="1" x14ac:dyDescent="0.25">
      <c r="A190" s="65" t="s">
        <v>92</v>
      </c>
      <c r="B190" s="58" t="s">
        <v>741</v>
      </c>
      <c r="C190" s="59" t="s">
        <v>742</v>
      </c>
      <c r="D190" s="60" t="s">
        <v>743</v>
      </c>
      <c r="E190" s="58" t="s">
        <v>750</v>
      </c>
      <c r="F190" s="61">
        <v>46070</v>
      </c>
      <c r="G190" s="58">
        <v>2026</v>
      </c>
      <c r="H190" s="62" t="s">
        <v>837</v>
      </c>
      <c r="I190" s="63" t="s">
        <v>838</v>
      </c>
      <c r="J190" s="62" t="s">
        <v>758</v>
      </c>
      <c r="K190" s="64">
        <v>1</v>
      </c>
    </row>
    <row r="191" spans="1:11" s="37" customFormat="1" x14ac:dyDescent="0.25">
      <c r="A191" s="65" t="s">
        <v>30</v>
      </c>
      <c r="B191" s="58" t="s">
        <v>741</v>
      </c>
      <c r="C191" s="59" t="s">
        <v>742</v>
      </c>
      <c r="D191" s="60" t="s">
        <v>743</v>
      </c>
      <c r="E191" s="58" t="s">
        <v>750</v>
      </c>
      <c r="F191" s="61">
        <v>46070</v>
      </c>
      <c r="G191" s="58">
        <v>2026</v>
      </c>
      <c r="H191" s="62" t="s">
        <v>837</v>
      </c>
      <c r="I191" s="63" t="s">
        <v>838</v>
      </c>
      <c r="J191" s="62" t="s">
        <v>758</v>
      </c>
      <c r="K191" s="64">
        <v>1</v>
      </c>
    </row>
    <row r="192" spans="1:11" x14ac:dyDescent="0.25">
      <c r="A192" s="48" t="s">
        <v>790</v>
      </c>
      <c r="B192" s="58" t="s">
        <v>741</v>
      </c>
      <c r="C192" s="59" t="s">
        <v>742</v>
      </c>
      <c r="D192" s="60" t="s">
        <v>743</v>
      </c>
      <c r="E192" s="58" t="s">
        <v>750</v>
      </c>
      <c r="F192" s="61">
        <v>46070</v>
      </c>
      <c r="G192" s="58">
        <v>2026</v>
      </c>
      <c r="H192" s="62" t="s">
        <v>837</v>
      </c>
      <c r="I192" s="63" t="s">
        <v>838</v>
      </c>
      <c r="J192" s="62" t="s">
        <v>758</v>
      </c>
      <c r="K192" s="64">
        <v>1</v>
      </c>
    </row>
    <row r="193" spans="1:11" x14ac:dyDescent="0.25">
      <c r="A193" s="48" t="s">
        <v>89</v>
      </c>
      <c r="B193" s="58" t="s">
        <v>741</v>
      </c>
      <c r="C193" s="59" t="s">
        <v>742</v>
      </c>
      <c r="D193" s="60" t="s">
        <v>743</v>
      </c>
      <c r="E193" s="58" t="s">
        <v>750</v>
      </c>
      <c r="F193" s="61">
        <v>46070</v>
      </c>
      <c r="G193" s="58">
        <v>2026</v>
      </c>
      <c r="H193" s="62" t="s">
        <v>837</v>
      </c>
      <c r="I193" s="63" t="s">
        <v>838</v>
      </c>
      <c r="J193" s="62" t="s">
        <v>758</v>
      </c>
      <c r="K193" s="64">
        <v>1</v>
      </c>
    </row>
  </sheetData>
  <autoFilter ref="A2:K178" xr:uid="{A9A32D30-4CD3-4382-8C25-BF584930CB82}"/>
  <mergeCells count="1">
    <mergeCell ref="A1:I1"/>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DDAC-FB7B-409D-A783-ABF33D2E0E77}">
  <sheetPr>
    <tabColor theme="0" tint="-0.34998626667073579"/>
  </sheetPr>
  <dimension ref="A1:O426"/>
  <sheetViews>
    <sheetView topLeftCell="F7" workbookViewId="0">
      <selection activeCell="M21" sqref="M21"/>
    </sheetView>
  </sheetViews>
  <sheetFormatPr defaultRowHeight="15" x14ac:dyDescent="0.25"/>
  <cols>
    <col min="1" max="1" width="17.85546875" bestFit="1" customWidth="1"/>
    <col min="2" max="2" width="7.85546875" bestFit="1" customWidth="1"/>
    <col min="3" max="3" width="35" bestFit="1" customWidth="1"/>
    <col min="4" max="4" width="0.28515625" customWidth="1"/>
    <col min="5" max="5" width="27.7109375" bestFit="1" customWidth="1"/>
    <col min="6" max="6" width="16.5703125" customWidth="1"/>
    <col min="7" max="7" width="0.28515625" customWidth="1"/>
    <col min="8" max="8" width="29.7109375" bestFit="1" customWidth="1"/>
    <col min="9" max="9" width="20.5703125" bestFit="1" customWidth="1"/>
    <col min="10" max="10" width="0.28515625" customWidth="1"/>
    <col min="11" max="11" width="60.85546875" bestFit="1" customWidth="1"/>
    <col min="12" max="12" width="0.28515625" customWidth="1"/>
    <col min="13" max="13" width="25.5703125" customWidth="1"/>
    <col min="14" max="14" width="0.28515625" customWidth="1"/>
    <col min="15" max="15" width="18.7109375" bestFit="1" customWidth="1"/>
  </cols>
  <sheetData>
    <row r="1" spans="1:15" x14ac:dyDescent="0.25">
      <c r="A1" s="19" t="s">
        <v>0</v>
      </c>
      <c r="B1" s="19" t="s">
        <v>839</v>
      </c>
      <c r="C1" s="19" t="s">
        <v>840</v>
      </c>
      <c r="D1" s="21"/>
      <c r="E1" s="22" t="s">
        <v>840</v>
      </c>
      <c r="F1" s="22" t="s">
        <v>841</v>
      </c>
      <c r="G1" s="21"/>
      <c r="H1" s="22" t="s">
        <v>842</v>
      </c>
      <c r="I1" s="22" t="s">
        <v>843</v>
      </c>
      <c r="J1" s="21"/>
      <c r="K1" s="22" t="s">
        <v>844</v>
      </c>
      <c r="L1" s="21"/>
      <c r="M1" s="22" t="s">
        <v>1288</v>
      </c>
      <c r="N1" s="21"/>
      <c r="O1" s="22" t="s">
        <v>1289</v>
      </c>
    </row>
    <row r="2" spans="1:15" x14ac:dyDescent="0.25">
      <c r="A2" s="23" t="s">
        <v>25</v>
      </c>
      <c r="B2" s="23" t="s">
        <v>845</v>
      </c>
      <c r="C2" s="23" t="s">
        <v>26</v>
      </c>
      <c r="D2" s="21"/>
      <c r="E2" s="23" t="s">
        <v>782</v>
      </c>
      <c r="F2" s="23" t="s">
        <v>846</v>
      </c>
      <c r="G2" s="21"/>
      <c r="H2" s="24" t="s">
        <v>847</v>
      </c>
      <c r="I2" s="24"/>
      <c r="J2" s="21"/>
      <c r="K2" s="24" t="s">
        <v>848</v>
      </c>
      <c r="L2" s="21"/>
      <c r="M2" s="24" t="s">
        <v>32</v>
      </c>
      <c r="N2" s="21"/>
      <c r="O2" s="24" t="s">
        <v>139</v>
      </c>
    </row>
    <row r="3" spans="1:15" x14ac:dyDescent="0.25">
      <c r="A3" s="23" t="s">
        <v>35</v>
      </c>
      <c r="B3" s="23" t="s">
        <v>849</v>
      </c>
      <c r="C3" s="23" t="s">
        <v>36</v>
      </c>
      <c r="D3" s="21"/>
      <c r="E3" s="23" t="s">
        <v>850</v>
      </c>
      <c r="F3" s="23" t="s">
        <v>846</v>
      </c>
      <c r="G3" s="21"/>
      <c r="H3" s="24" t="s">
        <v>545</v>
      </c>
      <c r="I3" s="24" t="s">
        <v>545</v>
      </c>
      <c r="J3" s="21"/>
      <c r="K3" s="24" t="s">
        <v>177</v>
      </c>
      <c r="L3" s="21"/>
      <c r="M3" s="24" t="s">
        <v>39</v>
      </c>
      <c r="N3" s="21"/>
      <c r="O3" s="24" t="s">
        <v>140</v>
      </c>
    </row>
    <row r="4" spans="1:15" x14ac:dyDescent="0.25">
      <c r="A4" s="23" t="s">
        <v>101</v>
      </c>
      <c r="B4" s="23" t="s">
        <v>851</v>
      </c>
      <c r="C4" s="23" t="s">
        <v>49</v>
      </c>
      <c r="D4" s="21"/>
      <c r="E4" s="23" t="s">
        <v>852</v>
      </c>
      <c r="F4" s="23" t="s">
        <v>853</v>
      </c>
      <c r="G4" s="21"/>
      <c r="H4" s="24" t="s">
        <v>719</v>
      </c>
      <c r="I4" s="24" t="s">
        <v>719</v>
      </c>
      <c r="J4" s="21"/>
      <c r="K4" s="24" t="s">
        <v>854</v>
      </c>
      <c r="L4" s="21"/>
      <c r="M4" s="24" t="s">
        <v>34</v>
      </c>
      <c r="N4" s="21"/>
      <c r="O4" s="24" t="s">
        <v>1296</v>
      </c>
    </row>
    <row r="5" spans="1:15" x14ac:dyDescent="0.25">
      <c r="A5" s="23" t="s">
        <v>855</v>
      </c>
      <c r="B5" s="23" t="s">
        <v>845</v>
      </c>
      <c r="C5" s="23" t="s">
        <v>26</v>
      </c>
      <c r="D5" s="21"/>
      <c r="E5" s="23" t="s">
        <v>52</v>
      </c>
      <c r="F5" s="23" t="s">
        <v>856</v>
      </c>
      <c r="G5" s="21"/>
      <c r="H5" s="24" t="s">
        <v>857</v>
      </c>
      <c r="I5" s="24"/>
      <c r="J5" s="21"/>
      <c r="K5" s="24" t="s">
        <v>858</v>
      </c>
      <c r="L5" s="21"/>
      <c r="M5" s="24" t="s">
        <v>44</v>
      </c>
      <c r="N5" s="21"/>
      <c r="O5" s="24" t="s">
        <v>137</v>
      </c>
    </row>
    <row r="6" spans="1:15" x14ac:dyDescent="0.25">
      <c r="A6" s="23" t="s">
        <v>481</v>
      </c>
      <c r="B6" s="23" t="s">
        <v>859</v>
      </c>
      <c r="C6" s="23" t="s">
        <v>59</v>
      </c>
      <c r="D6" s="21"/>
      <c r="E6" s="23" t="s">
        <v>860</v>
      </c>
      <c r="F6" s="23" t="s">
        <v>856</v>
      </c>
      <c r="G6" s="21"/>
      <c r="H6" s="24" t="s">
        <v>861</v>
      </c>
      <c r="I6" s="24"/>
      <c r="J6" s="21"/>
      <c r="K6" s="24" t="s">
        <v>201</v>
      </c>
      <c r="L6" s="21"/>
      <c r="M6" s="24" t="s">
        <v>96</v>
      </c>
      <c r="N6" s="21"/>
      <c r="O6" s="24" t="s">
        <v>141</v>
      </c>
    </row>
    <row r="7" spans="1:15" x14ac:dyDescent="0.25">
      <c r="A7" s="23" t="s">
        <v>45</v>
      </c>
      <c r="B7" s="23" t="s">
        <v>1255</v>
      </c>
      <c r="C7" s="23" t="s">
        <v>1253</v>
      </c>
      <c r="D7" s="21"/>
      <c r="E7" s="23" t="s">
        <v>773</v>
      </c>
      <c r="F7" s="23" t="s">
        <v>856</v>
      </c>
      <c r="G7" s="21"/>
      <c r="H7" s="24" t="s">
        <v>863</v>
      </c>
      <c r="I7" s="24" t="s">
        <v>863</v>
      </c>
      <c r="J7" s="21"/>
      <c r="K7" s="24" t="s">
        <v>60</v>
      </c>
      <c r="L7" s="21"/>
      <c r="M7" s="24" t="s">
        <v>50</v>
      </c>
      <c r="N7" s="21"/>
      <c r="O7" s="24" t="s">
        <v>60</v>
      </c>
    </row>
    <row r="8" spans="1:15" x14ac:dyDescent="0.25">
      <c r="A8" s="23" t="s">
        <v>48</v>
      </c>
      <c r="B8" s="23" t="s">
        <v>851</v>
      </c>
      <c r="C8" s="23" t="s">
        <v>49</v>
      </c>
      <c r="D8" s="21"/>
      <c r="E8" s="23" t="s">
        <v>73</v>
      </c>
      <c r="F8" s="23" t="s">
        <v>856</v>
      </c>
      <c r="G8" s="21"/>
      <c r="H8" s="24" t="s">
        <v>864</v>
      </c>
      <c r="I8" s="24"/>
      <c r="J8" s="21"/>
      <c r="K8" s="24" t="s">
        <v>865</v>
      </c>
      <c r="L8" s="21"/>
      <c r="M8" s="24" t="s">
        <v>33</v>
      </c>
      <c r="N8" s="21"/>
      <c r="O8" s="24" t="s">
        <v>1286</v>
      </c>
    </row>
    <row r="9" spans="1:15" x14ac:dyDescent="0.25">
      <c r="A9" s="23" t="s">
        <v>51</v>
      </c>
      <c r="B9" s="23" t="s">
        <v>866</v>
      </c>
      <c r="C9" s="23" t="s">
        <v>52</v>
      </c>
      <c r="D9" s="21"/>
      <c r="E9" s="23" t="s">
        <v>867</v>
      </c>
      <c r="F9" s="23" t="s">
        <v>856</v>
      </c>
      <c r="G9" s="21"/>
      <c r="H9" s="24" t="s">
        <v>868</v>
      </c>
      <c r="I9" s="24"/>
      <c r="J9" s="21"/>
      <c r="K9" s="24" t="s">
        <v>206</v>
      </c>
      <c r="L9" s="21"/>
      <c r="M9" s="24" t="s">
        <v>1285</v>
      </c>
      <c r="N9" s="21"/>
      <c r="O9" s="24" t="s">
        <v>132</v>
      </c>
    </row>
    <row r="10" spans="1:15" x14ac:dyDescent="0.25">
      <c r="A10" s="23" t="s">
        <v>55</v>
      </c>
      <c r="B10" s="23" t="s">
        <v>869</v>
      </c>
      <c r="C10" s="23" t="s">
        <v>870</v>
      </c>
      <c r="D10" s="21"/>
      <c r="E10" s="23" t="s">
        <v>784</v>
      </c>
      <c r="F10" s="23" t="s">
        <v>846</v>
      </c>
      <c r="G10" s="21"/>
      <c r="H10" s="24" t="s">
        <v>358</v>
      </c>
      <c r="I10" s="24" t="s">
        <v>358</v>
      </c>
      <c r="J10" s="21"/>
      <c r="K10" s="24" t="s">
        <v>1252</v>
      </c>
      <c r="L10" s="21"/>
      <c r="M10" s="24" t="s">
        <v>1286</v>
      </c>
      <c r="N10" s="21"/>
      <c r="O10" s="24" t="s">
        <v>142</v>
      </c>
    </row>
    <row r="11" spans="1:15" x14ac:dyDescent="0.25">
      <c r="A11" s="23" t="s">
        <v>226</v>
      </c>
      <c r="B11" s="23" t="s">
        <v>862</v>
      </c>
      <c r="C11" s="23" t="s">
        <v>46</v>
      </c>
      <c r="D11" s="21"/>
      <c r="E11" s="23" t="s">
        <v>871</v>
      </c>
      <c r="F11" s="23" t="s">
        <v>856</v>
      </c>
      <c r="G11" s="21"/>
      <c r="H11" s="24" t="s">
        <v>872</v>
      </c>
      <c r="I11" s="24"/>
      <c r="J11" s="21"/>
      <c r="L11" s="21"/>
      <c r="M11" s="24" t="s">
        <v>38</v>
      </c>
      <c r="N11" s="21"/>
      <c r="O11" s="24" t="s">
        <v>143</v>
      </c>
    </row>
    <row r="12" spans="1:15" x14ac:dyDescent="0.25">
      <c r="A12" s="23" t="s">
        <v>63</v>
      </c>
      <c r="B12" s="23" t="s">
        <v>851</v>
      </c>
      <c r="C12" s="23" t="s">
        <v>49</v>
      </c>
      <c r="D12" s="21"/>
      <c r="E12" s="23" t="s">
        <v>803</v>
      </c>
      <c r="F12" s="23" t="s">
        <v>846</v>
      </c>
      <c r="G12" s="21"/>
      <c r="H12" s="24" t="s">
        <v>569</v>
      </c>
      <c r="I12" s="24" t="s">
        <v>569</v>
      </c>
      <c r="J12" s="21"/>
      <c r="L12" s="21"/>
      <c r="M12" s="24" t="s">
        <v>64</v>
      </c>
      <c r="N12" s="21"/>
      <c r="O12" s="24" t="s">
        <v>1293</v>
      </c>
    </row>
    <row r="13" spans="1:15" x14ac:dyDescent="0.25">
      <c r="A13" s="23" t="s">
        <v>873</v>
      </c>
      <c r="B13" s="23" t="s">
        <v>862</v>
      </c>
      <c r="C13" s="23" t="s">
        <v>46</v>
      </c>
      <c r="D13" s="21"/>
      <c r="E13" s="23" t="s">
        <v>874</v>
      </c>
      <c r="F13" s="23" t="s">
        <v>846</v>
      </c>
      <c r="G13" s="21"/>
      <c r="H13" s="24" t="s">
        <v>875</v>
      </c>
      <c r="I13" s="24"/>
      <c r="J13" s="21"/>
      <c r="L13" s="21"/>
      <c r="M13" s="24" t="s">
        <v>100</v>
      </c>
      <c r="N13" s="21"/>
      <c r="O13" s="24" t="s">
        <v>1295</v>
      </c>
    </row>
    <row r="14" spans="1:15" x14ac:dyDescent="0.25">
      <c r="A14" s="23" t="s">
        <v>1333</v>
      </c>
      <c r="B14" s="23" t="s">
        <v>851</v>
      </c>
      <c r="C14" s="23" t="s">
        <v>49</v>
      </c>
      <c r="D14" s="21"/>
      <c r="E14" s="23" t="s">
        <v>876</v>
      </c>
      <c r="F14" s="23" t="s">
        <v>877</v>
      </c>
      <c r="G14" s="21"/>
      <c r="H14" s="24" t="s">
        <v>878</v>
      </c>
      <c r="I14" s="24"/>
      <c r="J14" s="21"/>
      <c r="L14" s="21"/>
      <c r="M14" s="24" t="s">
        <v>31</v>
      </c>
      <c r="N14" s="21"/>
      <c r="O14" s="24" t="s">
        <v>1298</v>
      </c>
    </row>
    <row r="15" spans="1:15" x14ac:dyDescent="0.25">
      <c r="A15" s="23" t="s">
        <v>485</v>
      </c>
      <c r="B15" s="23" t="s">
        <v>879</v>
      </c>
      <c r="C15" s="23" t="s">
        <v>880</v>
      </c>
      <c r="D15" s="21"/>
      <c r="E15" s="23" t="s">
        <v>785</v>
      </c>
      <c r="F15" s="23" t="s">
        <v>846</v>
      </c>
      <c r="G15" s="21"/>
      <c r="H15" s="24" t="s">
        <v>881</v>
      </c>
      <c r="I15" s="24"/>
      <c r="J15" s="21"/>
      <c r="L15" s="21"/>
      <c r="M15" s="24" t="s">
        <v>60</v>
      </c>
      <c r="N15" s="21"/>
      <c r="O15" s="24" t="s">
        <v>1299</v>
      </c>
    </row>
    <row r="16" spans="1:15" x14ac:dyDescent="0.25">
      <c r="A16" s="23" t="s">
        <v>68</v>
      </c>
      <c r="B16" s="23" t="s">
        <v>869</v>
      </c>
      <c r="C16" s="23" t="s">
        <v>870</v>
      </c>
      <c r="D16" s="21"/>
      <c r="E16" s="23" t="s">
        <v>30</v>
      </c>
      <c r="F16" s="23" t="s">
        <v>856</v>
      </c>
      <c r="G16" s="21"/>
      <c r="H16" s="24" t="s">
        <v>337</v>
      </c>
      <c r="I16" s="24" t="s">
        <v>337</v>
      </c>
      <c r="J16" s="21"/>
      <c r="L16" s="21"/>
      <c r="N16" s="21"/>
      <c r="O16" s="24" t="s">
        <v>1300</v>
      </c>
    </row>
    <row r="17" spans="1:15" x14ac:dyDescent="0.25">
      <c r="A17" s="23" t="s">
        <v>433</v>
      </c>
      <c r="B17" s="23" t="s">
        <v>866</v>
      </c>
      <c r="C17" s="23" t="s">
        <v>52</v>
      </c>
      <c r="D17" s="21"/>
      <c r="E17" s="23" t="s">
        <v>59</v>
      </c>
      <c r="F17" s="23" t="s">
        <v>846</v>
      </c>
      <c r="G17" s="21"/>
      <c r="H17" s="24" t="s">
        <v>882</v>
      </c>
      <c r="I17" s="24"/>
      <c r="J17" s="21"/>
      <c r="L17" s="21"/>
      <c r="N17" s="21"/>
      <c r="O17" s="24" t="s">
        <v>1338</v>
      </c>
    </row>
    <row r="18" spans="1:15" x14ac:dyDescent="0.25">
      <c r="A18" s="23" t="s">
        <v>72</v>
      </c>
      <c r="B18" s="23" t="s">
        <v>859</v>
      </c>
      <c r="C18" s="23" t="s">
        <v>59</v>
      </c>
      <c r="D18" s="21"/>
      <c r="E18" s="23" t="s">
        <v>820</v>
      </c>
      <c r="F18" s="23" t="s">
        <v>877</v>
      </c>
      <c r="G18" s="21"/>
      <c r="H18" s="24" t="s">
        <v>883</v>
      </c>
      <c r="I18" s="24"/>
      <c r="J18" s="21"/>
      <c r="L18" s="21"/>
      <c r="N18" s="21"/>
      <c r="O18" s="24" t="s">
        <v>1339</v>
      </c>
    </row>
    <row r="19" spans="1:15" x14ac:dyDescent="0.25">
      <c r="A19" s="23" t="s">
        <v>382</v>
      </c>
      <c r="B19" s="23" t="s">
        <v>884</v>
      </c>
      <c r="C19" s="23" t="s">
        <v>73</v>
      </c>
      <c r="D19" s="21"/>
      <c r="E19" s="23" t="s">
        <v>66</v>
      </c>
      <c r="F19" s="23" t="s">
        <v>856</v>
      </c>
      <c r="G19" s="21"/>
      <c r="H19" s="24" t="s">
        <v>413</v>
      </c>
      <c r="I19" s="24" t="s">
        <v>413</v>
      </c>
      <c r="J19" s="21"/>
      <c r="L19" s="21"/>
      <c r="N19" s="21"/>
      <c r="O19" s="24" t="s">
        <v>1340</v>
      </c>
    </row>
    <row r="20" spans="1:15" x14ac:dyDescent="0.25">
      <c r="A20" s="23" t="s">
        <v>450</v>
      </c>
      <c r="B20" s="23" t="s">
        <v>851</v>
      </c>
      <c r="C20" s="23" t="s">
        <v>49</v>
      </c>
      <c r="D20" s="21"/>
      <c r="E20" s="23" t="s">
        <v>885</v>
      </c>
      <c r="F20" s="23" t="s">
        <v>856</v>
      </c>
      <c r="G20" s="21"/>
      <c r="H20" s="24" t="s">
        <v>886</v>
      </c>
      <c r="I20" s="24"/>
      <c r="J20" s="21"/>
      <c r="L20" s="21"/>
      <c r="N20" s="21"/>
      <c r="O20" s="24" t="s">
        <v>1361</v>
      </c>
    </row>
    <row r="21" spans="1:15" x14ac:dyDescent="0.25">
      <c r="A21" s="23" t="s">
        <v>75</v>
      </c>
      <c r="B21" s="23" t="s">
        <v>862</v>
      </c>
      <c r="C21" s="23" t="s">
        <v>46</v>
      </c>
      <c r="D21" s="21"/>
      <c r="E21" s="23" t="s">
        <v>887</v>
      </c>
      <c r="F21" s="23" t="s">
        <v>846</v>
      </c>
      <c r="G21" s="21"/>
      <c r="H21" s="24" t="s">
        <v>888</v>
      </c>
      <c r="I21" s="24"/>
      <c r="J21" s="21"/>
      <c r="L21" s="21"/>
      <c r="N21" s="21"/>
      <c r="O21" s="24" t="s">
        <v>1345</v>
      </c>
    </row>
    <row r="22" spans="1:15" x14ac:dyDescent="0.25">
      <c r="A22" s="23" t="s">
        <v>76</v>
      </c>
      <c r="B22" s="23" t="s">
        <v>889</v>
      </c>
      <c r="C22" s="23" t="s">
        <v>66</v>
      </c>
      <c r="D22" s="21"/>
      <c r="E22" s="23" t="s">
        <v>890</v>
      </c>
      <c r="F22" s="23" t="s">
        <v>846</v>
      </c>
      <c r="G22" s="21"/>
      <c r="H22" s="24" t="s">
        <v>891</v>
      </c>
      <c r="I22" s="24"/>
      <c r="J22" s="21"/>
      <c r="L22" s="21"/>
      <c r="N22" s="21"/>
    </row>
    <row r="23" spans="1:15" x14ac:dyDescent="0.25">
      <c r="A23" s="23" t="s">
        <v>77</v>
      </c>
      <c r="B23" s="23" t="s">
        <v>862</v>
      </c>
      <c r="C23" s="23" t="s">
        <v>46</v>
      </c>
      <c r="D23" s="21"/>
      <c r="E23" s="23" t="s">
        <v>892</v>
      </c>
      <c r="F23" s="23" t="s">
        <v>846</v>
      </c>
      <c r="G23" s="21"/>
      <c r="H23" s="24" t="s">
        <v>191</v>
      </c>
      <c r="I23" s="24" t="s">
        <v>191</v>
      </c>
      <c r="J23" s="21"/>
      <c r="L23" s="21"/>
      <c r="N23" s="21"/>
    </row>
    <row r="24" spans="1:15" x14ac:dyDescent="0.25">
      <c r="A24" s="23" t="s">
        <v>234</v>
      </c>
      <c r="B24" s="23" t="s">
        <v>884</v>
      </c>
      <c r="C24" s="23" t="s">
        <v>73</v>
      </c>
      <c r="D24" s="21"/>
      <c r="E24" s="23" t="s">
        <v>893</v>
      </c>
      <c r="F24" s="23" t="s">
        <v>846</v>
      </c>
      <c r="G24" s="21"/>
      <c r="H24" s="24" t="s">
        <v>894</v>
      </c>
      <c r="I24" s="24"/>
      <c r="J24" s="21"/>
      <c r="L24" s="21"/>
      <c r="N24" s="21"/>
    </row>
    <row r="25" spans="1:15" x14ac:dyDescent="0.25">
      <c r="A25" s="23" t="s">
        <v>80</v>
      </c>
      <c r="B25" s="23" t="s">
        <v>859</v>
      </c>
      <c r="C25" s="23" t="s">
        <v>59</v>
      </c>
      <c r="D25" s="21"/>
      <c r="E25" s="23" t="s">
        <v>895</v>
      </c>
      <c r="F25" s="23" t="s">
        <v>846</v>
      </c>
      <c r="G25" s="21"/>
      <c r="H25" s="24" t="s">
        <v>896</v>
      </c>
      <c r="I25" s="24"/>
      <c r="J25" s="21"/>
      <c r="L25" s="21"/>
      <c r="N25" s="21"/>
    </row>
    <row r="26" spans="1:15" x14ac:dyDescent="0.25">
      <c r="A26" s="23" t="s">
        <v>81</v>
      </c>
      <c r="B26" s="23" t="s">
        <v>859</v>
      </c>
      <c r="C26" s="23" t="s">
        <v>59</v>
      </c>
      <c r="D26" s="21"/>
      <c r="E26" s="23" t="s">
        <v>897</v>
      </c>
      <c r="F26" s="23" t="s">
        <v>846</v>
      </c>
      <c r="G26" s="21"/>
      <c r="H26" s="24" t="s">
        <v>898</v>
      </c>
      <c r="I26" s="24"/>
      <c r="J26" s="21"/>
      <c r="L26" s="21"/>
      <c r="N26" s="21"/>
    </row>
    <row r="27" spans="1:15" x14ac:dyDescent="0.25">
      <c r="A27" s="23" t="s">
        <v>391</v>
      </c>
      <c r="B27" s="23" t="s">
        <v>862</v>
      </c>
      <c r="C27" s="23" t="s">
        <v>46</v>
      </c>
      <c r="D27" s="21"/>
      <c r="E27" s="23" t="s">
        <v>899</v>
      </c>
      <c r="F27" s="23" t="s">
        <v>846</v>
      </c>
      <c r="G27" s="21"/>
      <c r="H27" s="24" t="s">
        <v>421</v>
      </c>
      <c r="I27" s="24" t="s">
        <v>421</v>
      </c>
      <c r="J27" s="21"/>
      <c r="L27" s="21"/>
      <c r="N27" s="21"/>
    </row>
    <row r="28" spans="1:15" x14ac:dyDescent="0.25">
      <c r="A28" s="23" t="s">
        <v>84</v>
      </c>
      <c r="B28" s="23" t="s">
        <v>862</v>
      </c>
      <c r="C28" s="23" t="s">
        <v>46</v>
      </c>
      <c r="D28" s="21"/>
      <c r="E28" s="23" t="s">
        <v>900</v>
      </c>
      <c r="F28" s="23" t="s">
        <v>846</v>
      </c>
      <c r="G28" s="21"/>
      <c r="H28" s="24" t="s">
        <v>901</v>
      </c>
      <c r="I28" s="24"/>
      <c r="J28" s="21"/>
      <c r="L28" s="21"/>
      <c r="N28" s="21"/>
    </row>
    <row r="29" spans="1:15" x14ac:dyDescent="0.25">
      <c r="A29" s="23" t="s">
        <v>87</v>
      </c>
      <c r="B29" s="23" t="s">
        <v>862</v>
      </c>
      <c r="C29" s="23" t="s">
        <v>46</v>
      </c>
      <c r="D29" s="21"/>
      <c r="E29" s="23" t="s">
        <v>902</v>
      </c>
      <c r="F29" s="23" t="s">
        <v>846</v>
      </c>
      <c r="G29" s="21"/>
      <c r="H29" s="24" t="s">
        <v>903</v>
      </c>
      <c r="I29" s="24"/>
      <c r="J29" s="21"/>
      <c r="L29" s="21"/>
      <c r="N29" s="21"/>
    </row>
    <row r="30" spans="1:15" x14ac:dyDescent="0.25">
      <c r="A30" s="23" t="s">
        <v>904</v>
      </c>
      <c r="B30" s="23" t="s">
        <v>905</v>
      </c>
      <c r="C30" s="23" t="s">
        <v>89</v>
      </c>
      <c r="D30" s="21"/>
      <c r="E30" s="23" t="s">
        <v>906</v>
      </c>
      <c r="F30" s="23" t="s">
        <v>846</v>
      </c>
      <c r="G30" s="21"/>
      <c r="H30" s="24" t="s">
        <v>907</v>
      </c>
      <c r="I30" s="24" t="s">
        <v>907</v>
      </c>
      <c r="J30" s="21"/>
      <c r="L30" s="21"/>
      <c r="N30" s="21"/>
    </row>
    <row r="31" spans="1:15" x14ac:dyDescent="0.25">
      <c r="A31" s="23" t="s">
        <v>207</v>
      </c>
      <c r="B31" s="23" t="s">
        <v>859</v>
      </c>
      <c r="C31" s="23" t="s">
        <v>59</v>
      </c>
      <c r="D31" s="21"/>
      <c r="E31" s="23" t="s">
        <v>46</v>
      </c>
      <c r="F31" s="23" t="s">
        <v>877</v>
      </c>
      <c r="G31" s="21"/>
      <c r="H31" s="24" t="s">
        <v>286</v>
      </c>
      <c r="I31" s="24" t="s">
        <v>286</v>
      </c>
      <c r="J31" s="21"/>
      <c r="L31" s="21"/>
      <c r="N31" s="21"/>
    </row>
    <row r="32" spans="1:15" x14ac:dyDescent="0.25">
      <c r="A32" s="23" t="s">
        <v>94</v>
      </c>
      <c r="B32" s="23" t="s">
        <v>859</v>
      </c>
      <c r="C32" s="23" t="s">
        <v>59</v>
      </c>
      <c r="D32" s="21"/>
      <c r="E32" s="23" t="s">
        <v>908</v>
      </c>
      <c r="F32" s="23" t="s">
        <v>877</v>
      </c>
      <c r="G32" s="21"/>
      <c r="H32" s="24" t="s">
        <v>309</v>
      </c>
      <c r="I32" s="24" t="s">
        <v>309</v>
      </c>
      <c r="J32" s="21"/>
      <c r="L32" s="21"/>
      <c r="N32" s="21"/>
    </row>
    <row r="33" spans="1:14" x14ac:dyDescent="0.25">
      <c r="A33" s="23" t="s">
        <v>97</v>
      </c>
      <c r="B33" s="23" t="s">
        <v>909</v>
      </c>
      <c r="C33" s="23" t="s">
        <v>910</v>
      </c>
      <c r="D33" s="21"/>
      <c r="E33" s="23" t="s">
        <v>760</v>
      </c>
      <c r="F33" s="23" t="s">
        <v>856</v>
      </c>
      <c r="G33" s="21"/>
      <c r="H33" s="24" t="s">
        <v>911</v>
      </c>
      <c r="I33" s="24"/>
      <c r="J33" s="21"/>
      <c r="L33" s="21"/>
      <c r="N33" s="21"/>
    </row>
    <row r="34" spans="1:14" x14ac:dyDescent="0.25">
      <c r="A34" s="23" t="s">
        <v>567</v>
      </c>
      <c r="B34" s="23" t="s">
        <v>905</v>
      </c>
      <c r="C34" s="23" t="s">
        <v>89</v>
      </c>
      <c r="D34" s="21"/>
      <c r="E34" s="23" t="s">
        <v>912</v>
      </c>
      <c r="F34" s="23" t="s">
        <v>856</v>
      </c>
      <c r="G34" s="21"/>
      <c r="H34" s="24" t="s">
        <v>913</v>
      </c>
      <c r="I34" s="24"/>
      <c r="J34" s="21"/>
      <c r="L34" s="21"/>
      <c r="N34" s="21"/>
    </row>
    <row r="35" spans="1:14" x14ac:dyDescent="0.25">
      <c r="A35" s="23" t="s">
        <v>99</v>
      </c>
      <c r="B35" s="23" t="s">
        <v>889</v>
      </c>
      <c r="C35" s="23" t="s">
        <v>66</v>
      </c>
      <c r="D35" s="21"/>
      <c r="E35" s="23" t="s">
        <v>36</v>
      </c>
      <c r="F35" s="23" t="s">
        <v>846</v>
      </c>
      <c r="G35" s="21"/>
      <c r="H35" s="24" t="s">
        <v>416</v>
      </c>
      <c r="I35" s="24" t="s">
        <v>416</v>
      </c>
      <c r="J35" s="21"/>
      <c r="L35" s="21"/>
      <c r="N35" s="21"/>
    </row>
    <row r="36" spans="1:14" x14ac:dyDescent="0.25">
      <c r="A36" s="23" t="s">
        <v>102</v>
      </c>
      <c r="B36" s="23" t="s">
        <v>859</v>
      </c>
      <c r="C36" s="23" t="s">
        <v>59</v>
      </c>
      <c r="D36" s="21"/>
      <c r="E36" s="23" t="s">
        <v>914</v>
      </c>
      <c r="F36" s="23" t="s">
        <v>846</v>
      </c>
      <c r="G36" s="21"/>
      <c r="H36" s="24" t="s">
        <v>915</v>
      </c>
      <c r="I36" s="24"/>
      <c r="J36" s="21"/>
      <c r="L36" s="21"/>
      <c r="N36" s="21"/>
    </row>
    <row r="37" spans="1:14" x14ac:dyDescent="0.25">
      <c r="A37" s="23" t="s">
        <v>103</v>
      </c>
      <c r="B37" s="23" t="s">
        <v>916</v>
      </c>
      <c r="C37" s="23" t="s">
        <v>917</v>
      </c>
      <c r="D37" s="21"/>
      <c r="E37" s="23" t="s">
        <v>113</v>
      </c>
      <c r="F37" s="23" t="s">
        <v>877</v>
      </c>
      <c r="G37" s="21"/>
      <c r="H37" s="24" t="s">
        <v>918</v>
      </c>
      <c r="I37" s="24"/>
      <c r="J37" s="21"/>
      <c r="L37" s="21"/>
      <c r="N37" s="21"/>
    </row>
    <row r="38" spans="1:14" x14ac:dyDescent="0.25">
      <c r="A38" s="23" t="s">
        <v>104</v>
      </c>
      <c r="B38" s="23" t="s">
        <v>862</v>
      </c>
      <c r="C38" s="23" t="s">
        <v>46</v>
      </c>
      <c r="D38" s="21"/>
      <c r="E38" s="23" t="s">
        <v>919</v>
      </c>
      <c r="F38" s="23" t="s">
        <v>877</v>
      </c>
      <c r="G38" s="21"/>
      <c r="H38" s="24" t="s">
        <v>920</v>
      </c>
      <c r="I38" s="24" t="s">
        <v>920</v>
      </c>
      <c r="J38" s="21"/>
      <c r="L38" s="21"/>
      <c r="N38" s="21"/>
    </row>
    <row r="39" spans="1:14" x14ac:dyDescent="0.25">
      <c r="A39" s="23" t="s">
        <v>474</v>
      </c>
      <c r="B39" s="23" t="s">
        <v>921</v>
      </c>
      <c r="C39" s="23" t="s">
        <v>922</v>
      </c>
      <c r="D39" s="21"/>
      <c r="E39" s="23" t="s">
        <v>768</v>
      </c>
      <c r="F39" s="23" t="s">
        <v>856</v>
      </c>
      <c r="G39" s="21"/>
      <c r="H39" s="24" t="s">
        <v>476</v>
      </c>
      <c r="I39" s="24" t="s">
        <v>476</v>
      </c>
      <c r="J39" s="21"/>
      <c r="L39" s="21"/>
      <c r="N39" s="21"/>
    </row>
    <row r="40" spans="1:14" x14ac:dyDescent="0.25">
      <c r="A40" s="23" t="s">
        <v>105</v>
      </c>
      <c r="B40" s="23" t="s">
        <v>905</v>
      </c>
      <c r="C40" s="23" t="s">
        <v>89</v>
      </c>
      <c r="D40" s="21"/>
      <c r="E40" s="23" t="s">
        <v>923</v>
      </c>
      <c r="F40" s="23" t="s">
        <v>856</v>
      </c>
      <c r="G40" s="21"/>
      <c r="H40" s="24" t="s">
        <v>924</v>
      </c>
      <c r="I40" s="24"/>
      <c r="J40" s="21"/>
      <c r="L40" s="21"/>
      <c r="N40" s="21"/>
    </row>
    <row r="41" spans="1:14" x14ac:dyDescent="0.25">
      <c r="A41" s="23" t="s">
        <v>589</v>
      </c>
      <c r="B41" s="23" t="s">
        <v>862</v>
      </c>
      <c r="C41" s="23" t="s">
        <v>46</v>
      </c>
      <c r="D41" s="21"/>
      <c r="E41" s="23" t="s">
        <v>92</v>
      </c>
      <c r="F41" s="23" t="s">
        <v>846</v>
      </c>
      <c r="G41" s="21"/>
      <c r="H41" s="24" t="s">
        <v>925</v>
      </c>
      <c r="I41" s="24"/>
      <c r="J41" s="21"/>
      <c r="L41" s="21"/>
      <c r="N41" s="21"/>
    </row>
    <row r="42" spans="1:14" x14ac:dyDescent="0.25">
      <c r="A42" s="23" t="s">
        <v>107</v>
      </c>
      <c r="B42" s="23" t="s">
        <v>859</v>
      </c>
      <c r="C42" s="23" t="s">
        <v>59</v>
      </c>
      <c r="D42" s="21"/>
      <c r="E42" s="23" t="s">
        <v>43</v>
      </c>
      <c r="F42" s="23" t="s">
        <v>856</v>
      </c>
      <c r="G42" s="21"/>
      <c r="H42" s="24" t="s">
        <v>527</v>
      </c>
      <c r="I42" s="24" t="s">
        <v>527</v>
      </c>
      <c r="J42" s="21"/>
      <c r="L42" s="21"/>
      <c r="N42" s="21"/>
    </row>
    <row r="43" spans="1:14" x14ac:dyDescent="0.25">
      <c r="A43" s="23" t="s">
        <v>290</v>
      </c>
      <c r="B43" s="23" t="s">
        <v>859</v>
      </c>
      <c r="C43" s="23" t="s">
        <v>59</v>
      </c>
      <c r="D43" s="21"/>
      <c r="E43" s="23" t="s">
        <v>926</v>
      </c>
      <c r="F43" s="23" t="s">
        <v>856</v>
      </c>
      <c r="G43" s="21"/>
      <c r="H43" s="24" t="s">
        <v>927</v>
      </c>
      <c r="I43" s="24"/>
      <c r="J43" s="21"/>
      <c r="L43" s="21"/>
      <c r="N43" s="21"/>
    </row>
    <row r="44" spans="1:14" x14ac:dyDescent="0.25">
      <c r="A44" s="23" t="s">
        <v>407</v>
      </c>
      <c r="B44" s="23" t="s">
        <v>928</v>
      </c>
      <c r="C44" s="23" t="s">
        <v>929</v>
      </c>
      <c r="D44" s="21"/>
      <c r="E44" s="23" t="s">
        <v>790</v>
      </c>
      <c r="F44" s="23" t="s">
        <v>856</v>
      </c>
      <c r="G44" s="21"/>
      <c r="H44" s="24" t="s">
        <v>930</v>
      </c>
      <c r="I44" s="24" t="s">
        <v>238</v>
      </c>
      <c r="J44" s="21"/>
      <c r="L44" s="21"/>
      <c r="N44" s="21"/>
    </row>
    <row r="45" spans="1:14" x14ac:dyDescent="0.25">
      <c r="A45" s="23" t="s">
        <v>185</v>
      </c>
      <c r="B45" s="23" t="s">
        <v>859</v>
      </c>
      <c r="C45" s="23" t="s">
        <v>59</v>
      </c>
      <c r="D45" s="21"/>
      <c r="E45" s="23" t="s">
        <v>931</v>
      </c>
      <c r="F45" s="23" t="s">
        <v>846</v>
      </c>
      <c r="G45" s="21"/>
      <c r="H45" s="24" t="s">
        <v>932</v>
      </c>
      <c r="I45" s="24" t="s">
        <v>238</v>
      </c>
      <c r="J45" s="21"/>
      <c r="L45" s="21"/>
      <c r="N45" s="21"/>
    </row>
    <row r="46" spans="1:14" x14ac:dyDescent="0.25">
      <c r="A46" s="23" t="s">
        <v>410</v>
      </c>
      <c r="B46" s="23" t="s">
        <v>933</v>
      </c>
      <c r="C46" s="23" t="s">
        <v>29</v>
      </c>
      <c r="D46" s="21"/>
      <c r="E46" s="23" t="s">
        <v>934</v>
      </c>
      <c r="F46" s="23" t="s">
        <v>846</v>
      </c>
      <c r="G46" s="21"/>
      <c r="H46" s="24" t="s">
        <v>935</v>
      </c>
      <c r="I46" s="24"/>
      <c r="J46" s="21"/>
      <c r="L46" s="21"/>
      <c r="N46" s="21"/>
    </row>
    <row r="47" spans="1:14" x14ac:dyDescent="0.25">
      <c r="A47" s="23" t="s">
        <v>377</v>
      </c>
      <c r="B47" s="23" t="s">
        <v>936</v>
      </c>
      <c r="C47" s="23" t="s">
        <v>937</v>
      </c>
      <c r="D47" s="21"/>
      <c r="E47" s="23" t="s">
        <v>938</v>
      </c>
      <c r="F47" s="23" t="s">
        <v>846</v>
      </c>
      <c r="G47" s="21"/>
      <c r="H47" s="24" t="s">
        <v>213</v>
      </c>
      <c r="I47" s="24" t="s">
        <v>213</v>
      </c>
      <c r="J47" s="21"/>
      <c r="L47" s="21"/>
      <c r="N47" s="21"/>
    </row>
    <row r="48" spans="1:14" x14ac:dyDescent="0.25">
      <c r="A48" s="23" t="s">
        <v>190</v>
      </c>
      <c r="B48" s="23" t="s">
        <v>889</v>
      </c>
      <c r="C48" s="23" t="s">
        <v>66</v>
      </c>
      <c r="D48" s="21"/>
      <c r="E48" s="23" t="s">
        <v>748</v>
      </c>
      <c r="F48" s="23" t="s">
        <v>846</v>
      </c>
      <c r="G48" s="21"/>
      <c r="H48" s="24" t="s">
        <v>939</v>
      </c>
      <c r="I48" s="24"/>
      <c r="J48" s="21"/>
      <c r="L48" s="21"/>
      <c r="N48" s="21"/>
    </row>
    <row r="49" spans="1:14" x14ac:dyDescent="0.25">
      <c r="A49" s="23" t="s">
        <v>492</v>
      </c>
      <c r="B49" s="23" t="s">
        <v>933</v>
      </c>
      <c r="C49" s="23" t="s">
        <v>29</v>
      </c>
      <c r="D49" s="21"/>
      <c r="E49" s="23" t="s">
        <v>89</v>
      </c>
      <c r="F49" s="23" t="s">
        <v>877</v>
      </c>
      <c r="G49" s="21"/>
      <c r="H49" s="24" t="s">
        <v>940</v>
      </c>
      <c r="I49" s="24"/>
      <c r="J49" s="21"/>
      <c r="L49" s="21"/>
      <c r="N49" s="21"/>
    </row>
    <row r="50" spans="1:14" x14ac:dyDescent="0.25">
      <c r="A50" s="23" t="s">
        <v>668</v>
      </c>
      <c r="B50" s="23" t="s">
        <v>941</v>
      </c>
      <c r="C50" s="23" t="s">
        <v>66</v>
      </c>
      <c r="D50" s="21"/>
      <c r="E50" s="23" t="s">
        <v>769</v>
      </c>
      <c r="F50" s="23" t="s">
        <v>846</v>
      </c>
      <c r="G50" s="21"/>
      <c r="H50" s="24" t="s">
        <v>942</v>
      </c>
      <c r="I50" s="24"/>
      <c r="J50" s="21"/>
      <c r="L50" s="21"/>
      <c r="N50" s="21"/>
    </row>
    <row r="51" spans="1:14" x14ac:dyDescent="0.25">
      <c r="A51" s="23" t="s">
        <v>725</v>
      </c>
      <c r="B51" s="23" t="s">
        <v>859</v>
      </c>
      <c r="C51" s="23" t="s">
        <v>59</v>
      </c>
      <c r="D51" s="21"/>
      <c r="E51" s="23" t="s">
        <v>29</v>
      </c>
      <c r="F51" s="23" t="s">
        <v>877</v>
      </c>
      <c r="G51" s="21"/>
      <c r="H51" s="24" t="s">
        <v>943</v>
      </c>
      <c r="I51" s="24"/>
      <c r="J51" s="21"/>
      <c r="L51" s="21"/>
      <c r="N51" s="21"/>
    </row>
    <row r="52" spans="1:14" x14ac:dyDescent="0.25">
      <c r="A52" s="23" t="s">
        <v>729</v>
      </c>
      <c r="B52" s="23" t="s">
        <v>944</v>
      </c>
      <c r="C52" s="23" t="s">
        <v>945</v>
      </c>
      <c r="D52" s="21"/>
      <c r="E52" s="23" t="s">
        <v>795</v>
      </c>
      <c r="F52" s="23" t="s">
        <v>846</v>
      </c>
      <c r="G52" s="21"/>
      <c r="H52" s="24" t="s">
        <v>580</v>
      </c>
      <c r="I52" s="24" t="s">
        <v>580</v>
      </c>
      <c r="J52" s="21"/>
      <c r="L52" s="21"/>
      <c r="N52" s="21"/>
    </row>
    <row r="53" spans="1:14" x14ac:dyDescent="0.25">
      <c r="A53" s="23" t="s">
        <v>1254</v>
      </c>
      <c r="B53" s="23" t="s">
        <v>1255</v>
      </c>
      <c r="C53" s="23" t="s">
        <v>1253</v>
      </c>
      <c r="D53" s="21"/>
      <c r="E53" s="23" t="s">
        <v>946</v>
      </c>
      <c r="F53" s="23" t="s">
        <v>846</v>
      </c>
      <c r="G53" s="21"/>
      <c r="H53" s="24" t="s">
        <v>486</v>
      </c>
      <c r="I53" s="24" t="s">
        <v>486</v>
      </c>
      <c r="J53" s="21"/>
      <c r="L53" s="21"/>
      <c r="N53" s="21"/>
    </row>
    <row r="54" spans="1:14" x14ac:dyDescent="0.25">
      <c r="A54" s="23" t="s">
        <v>1256</v>
      </c>
      <c r="B54" s="23" t="s">
        <v>1258</v>
      </c>
      <c r="C54" s="23" t="s">
        <v>1257</v>
      </c>
      <c r="D54" s="21"/>
      <c r="E54" s="23" t="s">
        <v>947</v>
      </c>
      <c r="F54" s="23" t="s">
        <v>846</v>
      </c>
      <c r="G54" s="21"/>
      <c r="H54" s="24" t="s">
        <v>948</v>
      </c>
      <c r="I54" s="24"/>
      <c r="J54" s="21"/>
      <c r="L54" s="21"/>
      <c r="N54" s="21"/>
    </row>
    <row r="55" spans="1:14" x14ac:dyDescent="0.25">
      <c r="A55" s="23" t="s">
        <v>668</v>
      </c>
      <c r="B55" s="23" t="s">
        <v>1341</v>
      </c>
      <c r="C55" s="23" t="s">
        <v>30</v>
      </c>
      <c r="D55" s="21"/>
      <c r="E55" s="23" t="s">
        <v>949</v>
      </c>
      <c r="F55" s="23" t="s">
        <v>877</v>
      </c>
      <c r="G55" s="21"/>
      <c r="H55" s="24" t="s">
        <v>950</v>
      </c>
      <c r="I55" s="24" t="s">
        <v>950</v>
      </c>
      <c r="J55" s="21"/>
      <c r="L55" s="21"/>
      <c r="N55" s="21"/>
    </row>
    <row r="56" spans="1:14" x14ac:dyDescent="0.25">
      <c r="A56" s="23" t="s">
        <v>1352</v>
      </c>
      <c r="B56" s="23" t="s">
        <v>889</v>
      </c>
      <c r="C56" s="23" t="s">
        <v>66</v>
      </c>
      <c r="D56" s="21"/>
      <c r="E56" s="23" t="s">
        <v>951</v>
      </c>
      <c r="F56" s="23" t="s">
        <v>877</v>
      </c>
      <c r="G56" s="21"/>
      <c r="H56" s="24" t="s">
        <v>952</v>
      </c>
      <c r="I56" s="24"/>
      <c r="J56" s="21"/>
      <c r="L56" s="21"/>
      <c r="N56" s="21"/>
    </row>
    <row r="57" spans="1:14" x14ac:dyDescent="0.25">
      <c r="A57" s="23" t="s">
        <v>1353</v>
      </c>
      <c r="B57" s="23" t="s">
        <v>1346</v>
      </c>
      <c r="C57" s="23" t="s">
        <v>1349</v>
      </c>
      <c r="D57" s="21"/>
      <c r="E57" s="23" t="s">
        <v>805</v>
      </c>
      <c r="F57" s="23" t="s">
        <v>877</v>
      </c>
      <c r="G57" s="21"/>
      <c r="H57" s="24" t="s">
        <v>953</v>
      </c>
      <c r="I57" s="24" t="s">
        <v>953</v>
      </c>
      <c r="J57" s="21"/>
      <c r="L57" s="21"/>
      <c r="N57" s="21"/>
    </row>
    <row r="58" spans="1:14" x14ac:dyDescent="0.25">
      <c r="A58" s="23" t="s">
        <v>1354</v>
      </c>
      <c r="B58" s="23" t="s">
        <v>916</v>
      </c>
      <c r="C58" s="23" t="s">
        <v>917</v>
      </c>
      <c r="D58" s="21"/>
      <c r="E58" s="23" t="s">
        <v>954</v>
      </c>
      <c r="F58" s="23" t="s">
        <v>846</v>
      </c>
      <c r="G58" s="21"/>
      <c r="H58" s="24" t="s">
        <v>231</v>
      </c>
      <c r="I58" s="24" t="s">
        <v>231</v>
      </c>
      <c r="J58" s="21"/>
      <c r="L58" s="21"/>
      <c r="N58" s="21"/>
    </row>
    <row r="59" spans="1:14" x14ac:dyDescent="0.25">
      <c r="A59" s="23" t="s">
        <v>1355</v>
      </c>
      <c r="B59" s="23" t="s">
        <v>884</v>
      </c>
      <c r="C59" s="23" t="s">
        <v>73</v>
      </c>
      <c r="D59" s="21"/>
      <c r="E59" s="23" t="s">
        <v>955</v>
      </c>
      <c r="F59" s="23" t="s">
        <v>846</v>
      </c>
      <c r="G59" s="21"/>
      <c r="H59" s="24" t="s">
        <v>956</v>
      </c>
      <c r="I59" s="24" t="s">
        <v>231</v>
      </c>
      <c r="J59" s="21"/>
      <c r="L59" s="21"/>
      <c r="N59" s="21"/>
    </row>
    <row r="60" spans="1:14" x14ac:dyDescent="0.25">
      <c r="A60" s="23" t="s">
        <v>1356</v>
      </c>
      <c r="B60" s="23" t="s">
        <v>1347</v>
      </c>
      <c r="C60" s="23" t="s">
        <v>1350</v>
      </c>
      <c r="D60" s="21"/>
      <c r="E60" s="23" t="s">
        <v>823</v>
      </c>
      <c r="F60" s="23" t="s">
        <v>846</v>
      </c>
      <c r="G60" s="21"/>
      <c r="H60" s="24" t="s">
        <v>957</v>
      </c>
      <c r="I60" s="24"/>
      <c r="J60" s="21"/>
      <c r="L60" s="21"/>
      <c r="N60" s="21"/>
    </row>
    <row r="61" spans="1:14" x14ac:dyDescent="0.25">
      <c r="A61" s="23" t="s">
        <v>1357</v>
      </c>
      <c r="B61" s="23" t="s">
        <v>1347</v>
      </c>
      <c r="C61" s="23" t="s">
        <v>1350</v>
      </c>
      <c r="D61" s="115"/>
      <c r="E61" s="115"/>
      <c r="F61" s="25"/>
      <c r="G61" s="21"/>
      <c r="H61" s="24" t="s">
        <v>958</v>
      </c>
      <c r="I61" s="24"/>
      <c r="J61" s="21"/>
      <c r="L61" s="21"/>
      <c r="N61" s="21"/>
    </row>
    <row r="62" spans="1:14" x14ac:dyDescent="0.25">
      <c r="A62" s="23" t="s">
        <v>1358</v>
      </c>
      <c r="B62" s="23" t="s">
        <v>1348</v>
      </c>
      <c r="C62" s="23" t="s">
        <v>1253</v>
      </c>
      <c r="D62" s="115"/>
      <c r="E62" s="115"/>
      <c r="F62" s="25"/>
      <c r="G62" s="21"/>
      <c r="H62" s="24" t="s">
        <v>240</v>
      </c>
      <c r="I62" s="24" t="s">
        <v>240</v>
      </c>
      <c r="J62" s="21"/>
      <c r="L62" s="21"/>
      <c r="N62" s="21"/>
    </row>
    <row r="63" spans="1:14" x14ac:dyDescent="0.25">
      <c r="A63" s="23" t="s">
        <v>725</v>
      </c>
      <c r="B63" s="23" t="s">
        <v>1347</v>
      </c>
      <c r="C63" s="23" t="s">
        <v>1350</v>
      </c>
      <c r="D63" s="115"/>
      <c r="E63" s="115"/>
      <c r="F63" s="25"/>
      <c r="G63" s="21"/>
      <c r="H63" s="24" t="s">
        <v>959</v>
      </c>
      <c r="I63" s="24"/>
      <c r="J63" s="21"/>
      <c r="L63" s="21"/>
      <c r="N63" s="21"/>
    </row>
    <row r="64" spans="1:14" x14ac:dyDescent="0.25">
      <c r="A64" s="23" t="s">
        <v>729</v>
      </c>
      <c r="B64" s="23" t="s">
        <v>1347</v>
      </c>
      <c r="C64" s="23" t="s">
        <v>1350</v>
      </c>
      <c r="D64" s="115"/>
      <c r="E64" s="115"/>
      <c r="F64" s="25"/>
      <c r="G64" s="21"/>
      <c r="H64" s="24" t="s">
        <v>960</v>
      </c>
      <c r="I64" s="24"/>
      <c r="J64" s="21"/>
      <c r="L64" s="21"/>
      <c r="N64" s="21"/>
    </row>
    <row r="65" spans="1:14" x14ac:dyDescent="0.25">
      <c r="A65" s="23" t="s">
        <v>1256</v>
      </c>
      <c r="B65" s="23" t="s">
        <v>1258</v>
      </c>
      <c r="C65" s="23" t="s">
        <v>1257</v>
      </c>
      <c r="D65" s="115"/>
      <c r="E65" s="115"/>
      <c r="F65" s="20"/>
      <c r="G65" s="21"/>
      <c r="H65" s="24" t="s">
        <v>961</v>
      </c>
      <c r="I65" s="24"/>
      <c r="J65" s="21"/>
      <c r="L65" s="21"/>
      <c r="N65" s="21"/>
    </row>
    <row r="66" spans="1:14" x14ac:dyDescent="0.25">
      <c r="A66" s="23" t="s">
        <v>1359</v>
      </c>
      <c r="B66" s="23" t="s">
        <v>1347</v>
      </c>
      <c r="C66" s="23" t="s">
        <v>1350</v>
      </c>
      <c r="D66" s="115"/>
      <c r="E66" s="115"/>
      <c r="F66" s="20"/>
      <c r="G66" s="21"/>
      <c r="H66" s="24" t="s">
        <v>962</v>
      </c>
      <c r="I66" s="24"/>
      <c r="J66" s="21"/>
      <c r="L66" s="21"/>
      <c r="N66" s="21"/>
    </row>
    <row r="67" spans="1:14" x14ac:dyDescent="0.25">
      <c r="A67" s="23" t="s">
        <v>1360</v>
      </c>
      <c r="B67" s="23" t="s">
        <v>869</v>
      </c>
      <c r="C67" s="23" t="s">
        <v>1351</v>
      </c>
      <c r="D67" s="115"/>
      <c r="E67" s="115"/>
      <c r="F67" s="20"/>
      <c r="G67" s="21"/>
      <c r="H67" s="24" t="s">
        <v>963</v>
      </c>
      <c r="I67" s="24"/>
      <c r="J67" s="21"/>
      <c r="L67" s="21"/>
      <c r="N67" s="21"/>
    </row>
    <row r="68" spans="1:14" x14ac:dyDescent="0.25">
      <c r="A68" s="20"/>
      <c r="B68" s="20"/>
      <c r="C68" s="20"/>
      <c r="D68" s="115"/>
      <c r="E68" s="115"/>
      <c r="F68" s="20"/>
      <c r="G68" s="21"/>
      <c r="H68" s="24" t="s">
        <v>964</v>
      </c>
      <c r="I68" s="24"/>
      <c r="J68" s="21"/>
      <c r="L68" s="21"/>
      <c r="N68" s="21"/>
    </row>
    <row r="69" spans="1:14" x14ac:dyDescent="0.25">
      <c r="A69" s="20"/>
      <c r="B69" s="20"/>
      <c r="C69" s="20"/>
      <c r="D69" s="115"/>
      <c r="E69" s="115"/>
      <c r="F69" s="20"/>
      <c r="G69" s="21"/>
      <c r="H69" s="24" t="s">
        <v>965</v>
      </c>
      <c r="I69" s="24"/>
      <c r="J69" s="21"/>
      <c r="L69" s="21"/>
      <c r="N69" s="21"/>
    </row>
    <row r="70" spans="1:14" x14ac:dyDescent="0.25">
      <c r="A70" s="20"/>
      <c r="B70" s="20"/>
      <c r="C70" s="20"/>
      <c r="D70" s="115"/>
      <c r="E70" s="115"/>
      <c r="F70" s="20"/>
      <c r="G70" s="21"/>
      <c r="H70" s="24" t="s">
        <v>966</v>
      </c>
      <c r="I70" s="24"/>
      <c r="J70" s="21"/>
      <c r="L70" s="21"/>
      <c r="N70" s="21"/>
    </row>
    <row r="71" spans="1:14" x14ac:dyDescent="0.25">
      <c r="A71" s="20"/>
      <c r="B71" s="20"/>
      <c r="C71" s="20"/>
      <c r="D71" s="115"/>
      <c r="E71" s="115"/>
      <c r="F71" s="20"/>
      <c r="G71" s="21"/>
      <c r="H71" s="24" t="s">
        <v>967</v>
      </c>
      <c r="I71" s="24"/>
      <c r="J71" s="21"/>
      <c r="L71" s="21"/>
      <c r="N71" s="21"/>
    </row>
    <row r="72" spans="1:14" x14ac:dyDescent="0.25">
      <c r="A72" s="20"/>
      <c r="B72" s="20"/>
      <c r="C72" s="20"/>
      <c r="D72" s="115"/>
      <c r="E72" s="115"/>
      <c r="F72" s="20"/>
      <c r="G72" s="21"/>
      <c r="H72" s="24" t="s">
        <v>968</v>
      </c>
      <c r="I72" s="24"/>
      <c r="J72" s="21"/>
      <c r="L72" s="21"/>
      <c r="N72" s="21"/>
    </row>
    <row r="73" spans="1:14" x14ac:dyDescent="0.25">
      <c r="A73" s="20"/>
      <c r="B73" s="20"/>
      <c r="C73" s="20"/>
      <c r="D73" s="115"/>
      <c r="E73" s="115"/>
      <c r="F73" s="20"/>
      <c r="G73" s="21"/>
      <c r="H73" s="24" t="s">
        <v>603</v>
      </c>
      <c r="I73" s="24" t="s">
        <v>603</v>
      </c>
      <c r="J73" s="21"/>
      <c r="L73" s="21"/>
      <c r="N73" s="21"/>
    </row>
    <row r="74" spans="1:14" x14ac:dyDescent="0.25">
      <c r="A74" s="20"/>
      <c r="B74" s="20"/>
      <c r="C74" s="20"/>
      <c r="D74" s="115"/>
      <c r="E74" s="115"/>
      <c r="F74" s="20"/>
      <c r="G74" s="21"/>
      <c r="H74" s="24" t="s">
        <v>969</v>
      </c>
      <c r="I74" s="24"/>
      <c r="J74" s="21"/>
      <c r="L74" s="21"/>
      <c r="N74" s="21"/>
    </row>
    <row r="75" spans="1:14" x14ac:dyDescent="0.25">
      <c r="A75" s="20"/>
      <c r="B75" s="20"/>
      <c r="C75" s="20"/>
      <c r="D75" s="115"/>
      <c r="E75" s="115"/>
      <c r="F75" s="20"/>
      <c r="G75" s="21"/>
      <c r="H75" s="24" t="s">
        <v>970</v>
      </c>
      <c r="I75" s="24"/>
      <c r="J75" s="21"/>
      <c r="L75" s="21"/>
      <c r="N75" s="21"/>
    </row>
    <row r="76" spans="1:14" x14ac:dyDescent="0.25">
      <c r="A76" s="20"/>
      <c r="B76" s="20"/>
      <c r="C76" s="20"/>
      <c r="D76" s="115"/>
      <c r="E76" s="115"/>
      <c r="F76" s="20"/>
      <c r="G76" s="21"/>
      <c r="H76" s="24" t="s">
        <v>971</v>
      </c>
      <c r="I76" s="24" t="s">
        <v>971</v>
      </c>
      <c r="J76" s="21"/>
      <c r="L76" s="21"/>
      <c r="N76" s="21"/>
    </row>
    <row r="77" spans="1:14" x14ac:dyDescent="0.25">
      <c r="A77" s="20"/>
      <c r="B77" s="20"/>
      <c r="C77" s="20"/>
      <c r="D77" s="115"/>
      <c r="E77" s="115"/>
      <c r="F77" s="20"/>
      <c r="G77" s="21"/>
      <c r="H77" s="24" t="s">
        <v>972</v>
      </c>
      <c r="I77" s="24"/>
      <c r="J77" s="21"/>
      <c r="L77" s="21"/>
      <c r="N77" s="21"/>
    </row>
    <row r="78" spans="1:14" x14ac:dyDescent="0.25">
      <c r="A78" s="20"/>
      <c r="B78" s="20"/>
      <c r="C78" s="20"/>
      <c r="D78" s="115"/>
      <c r="E78" s="115"/>
      <c r="F78" s="20"/>
      <c r="G78" s="21"/>
      <c r="H78" s="24" t="s">
        <v>973</v>
      </c>
      <c r="I78" s="24"/>
      <c r="J78" s="21"/>
      <c r="L78" s="21"/>
      <c r="N78" s="21"/>
    </row>
    <row r="79" spans="1:14" x14ac:dyDescent="0.25">
      <c r="A79" s="20"/>
      <c r="B79" s="20"/>
      <c r="C79" s="20"/>
      <c r="D79" s="115"/>
      <c r="E79" s="115"/>
      <c r="F79" s="20"/>
      <c r="G79" s="21"/>
      <c r="H79" s="24" t="s">
        <v>974</v>
      </c>
      <c r="I79" s="24"/>
      <c r="J79" s="21"/>
      <c r="L79" s="21"/>
      <c r="N79" s="21"/>
    </row>
    <row r="80" spans="1:14" x14ac:dyDescent="0.25">
      <c r="A80" s="20"/>
      <c r="B80" s="20"/>
      <c r="C80" s="20"/>
      <c r="D80" s="115"/>
      <c r="E80" s="115"/>
      <c r="F80" s="20"/>
      <c r="G80" s="21"/>
      <c r="H80" s="24" t="s">
        <v>975</v>
      </c>
      <c r="I80" s="24"/>
      <c r="J80" s="21"/>
      <c r="L80" s="21"/>
      <c r="N80" s="21"/>
    </row>
    <row r="81" spans="1:14" x14ac:dyDescent="0.25">
      <c r="A81" s="20"/>
      <c r="B81" s="20"/>
      <c r="C81" s="20"/>
      <c r="D81" s="115"/>
      <c r="E81" s="115"/>
      <c r="F81" s="20"/>
      <c r="G81" s="21"/>
      <c r="H81" s="24" t="s">
        <v>976</v>
      </c>
      <c r="I81" s="24"/>
      <c r="J81" s="21"/>
      <c r="L81" s="21"/>
      <c r="N81" s="21"/>
    </row>
    <row r="82" spans="1:14" x14ac:dyDescent="0.25">
      <c r="A82" s="20"/>
      <c r="B82" s="20"/>
      <c r="C82" s="20"/>
      <c r="D82" s="115"/>
      <c r="E82" s="115"/>
      <c r="F82" s="20"/>
      <c r="G82" s="21"/>
      <c r="H82" s="24" t="s">
        <v>977</v>
      </c>
      <c r="I82" s="24"/>
      <c r="J82" s="21"/>
      <c r="L82" s="21"/>
      <c r="N82" s="21"/>
    </row>
    <row r="83" spans="1:14" x14ac:dyDescent="0.25">
      <c r="A83" s="20"/>
      <c r="B83" s="20"/>
      <c r="C83" s="20"/>
      <c r="D83" s="115"/>
      <c r="E83" s="115"/>
      <c r="F83" s="20"/>
      <c r="G83" s="21"/>
      <c r="H83" s="24" t="s">
        <v>978</v>
      </c>
      <c r="I83" s="24"/>
      <c r="J83" s="21"/>
      <c r="L83" s="21"/>
      <c r="N83" s="21"/>
    </row>
    <row r="84" spans="1:14" x14ac:dyDescent="0.25">
      <c r="A84" s="20"/>
      <c r="B84" s="20"/>
      <c r="C84" s="20"/>
      <c r="D84" s="115"/>
      <c r="E84" s="115"/>
      <c r="F84" s="20"/>
      <c r="G84" s="21"/>
      <c r="H84" s="24" t="s">
        <v>979</v>
      </c>
      <c r="I84" s="24" t="s">
        <v>979</v>
      </c>
      <c r="J84" s="21"/>
      <c r="L84" s="21"/>
      <c r="N84" s="21"/>
    </row>
    <row r="85" spans="1:14" x14ac:dyDescent="0.25">
      <c r="A85" s="20"/>
      <c r="B85" s="20"/>
      <c r="C85" s="20"/>
      <c r="D85" s="115"/>
      <c r="E85" s="115"/>
      <c r="F85" s="20"/>
      <c r="G85" s="21"/>
      <c r="H85" s="24" t="s">
        <v>980</v>
      </c>
      <c r="I85" s="24"/>
      <c r="J85" s="21"/>
      <c r="L85" s="21"/>
      <c r="N85" s="21"/>
    </row>
    <row r="86" spans="1:14" x14ac:dyDescent="0.25">
      <c r="A86" s="20"/>
      <c r="B86" s="20"/>
      <c r="C86" s="20"/>
      <c r="D86" s="115"/>
      <c r="E86" s="115"/>
      <c r="F86" s="20"/>
      <c r="G86" s="21"/>
      <c r="H86" s="24" t="s">
        <v>383</v>
      </c>
      <c r="I86" s="24" t="s">
        <v>383</v>
      </c>
      <c r="J86" s="21"/>
      <c r="L86" s="21"/>
      <c r="N86" s="21"/>
    </row>
    <row r="87" spans="1:14" x14ac:dyDescent="0.25">
      <c r="A87" s="20"/>
      <c r="B87" s="20"/>
      <c r="C87" s="20"/>
      <c r="D87" s="115"/>
      <c r="E87" s="115"/>
      <c r="F87" s="20"/>
      <c r="G87" s="21"/>
      <c r="H87" s="24" t="s">
        <v>981</v>
      </c>
      <c r="I87" s="24" t="s">
        <v>981</v>
      </c>
      <c r="J87" s="21"/>
      <c r="L87" s="21"/>
      <c r="N87" s="21"/>
    </row>
    <row r="88" spans="1:14" x14ac:dyDescent="0.25">
      <c r="A88" s="20"/>
      <c r="B88" s="20"/>
      <c r="C88" s="20"/>
      <c r="D88" s="115"/>
      <c r="E88" s="115"/>
      <c r="F88" s="20"/>
      <c r="G88" s="21"/>
      <c r="H88" s="24" t="s">
        <v>982</v>
      </c>
      <c r="I88" s="24"/>
      <c r="J88" s="21"/>
      <c r="L88" s="21"/>
      <c r="N88" s="21"/>
    </row>
    <row r="89" spans="1:14" x14ac:dyDescent="0.25">
      <c r="A89" s="20"/>
      <c r="B89" s="20"/>
      <c r="C89" s="20"/>
      <c r="D89" s="115"/>
      <c r="E89" s="115"/>
      <c r="F89" s="20"/>
      <c r="G89" s="21"/>
      <c r="H89" s="24" t="s">
        <v>983</v>
      </c>
      <c r="I89" s="24" t="s">
        <v>983</v>
      </c>
      <c r="J89" s="21"/>
      <c r="L89" s="21"/>
      <c r="N89" s="21"/>
    </row>
    <row r="90" spans="1:14" x14ac:dyDescent="0.25">
      <c r="A90" s="20"/>
      <c r="B90" s="20"/>
      <c r="C90" s="20"/>
      <c r="D90" s="115"/>
      <c r="E90" s="115"/>
      <c r="F90" s="20"/>
      <c r="G90" s="21"/>
      <c r="H90" s="24" t="s">
        <v>711</v>
      </c>
      <c r="I90" s="24" t="s">
        <v>238</v>
      </c>
      <c r="J90" s="21"/>
      <c r="L90" s="21"/>
      <c r="N90" s="21"/>
    </row>
    <row r="91" spans="1:14" x14ac:dyDescent="0.25">
      <c r="A91" s="20"/>
      <c r="B91" s="20"/>
      <c r="C91" s="20"/>
      <c r="D91" s="115"/>
      <c r="E91" s="115"/>
      <c r="F91" s="20"/>
      <c r="G91" s="21"/>
      <c r="H91" s="24" t="s">
        <v>984</v>
      </c>
      <c r="I91" s="24" t="s">
        <v>238</v>
      </c>
      <c r="J91" s="21"/>
      <c r="L91" s="21"/>
      <c r="N91" s="21"/>
    </row>
    <row r="92" spans="1:14" x14ac:dyDescent="0.25">
      <c r="A92" s="20"/>
      <c r="B92" s="20"/>
      <c r="C92" s="20"/>
      <c r="D92" s="115"/>
      <c r="E92" s="115"/>
      <c r="F92" s="20"/>
      <c r="G92" s="21"/>
      <c r="H92" s="24" t="s">
        <v>985</v>
      </c>
      <c r="I92" s="24"/>
      <c r="J92" s="21"/>
      <c r="L92" s="21"/>
      <c r="N92" s="21"/>
    </row>
    <row r="93" spans="1:14" x14ac:dyDescent="0.25">
      <c r="A93" s="20"/>
      <c r="B93" s="20"/>
      <c r="C93" s="20"/>
      <c r="D93" s="115"/>
      <c r="E93" s="115"/>
      <c r="F93" s="20"/>
      <c r="G93" s="21"/>
      <c r="H93" s="24" t="s">
        <v>986</v>
      </c>
      <c r="I93" s="24"/>
      <c r="J93" s="21"/>
      <c r="L93" s="21"/>
      <c r="N93" s="21"/>
    </row>
    <row r="94" spans="1:14" x14ac:dyDescent="0.25">
      <c r="A94" s="20"/>
      <c r="B94" s="20"/>
      <c r="C94" s="20"/>
      <c r="D94" s="115"/>
      <c r="E94" s="115"/>
      <c r="F94" s="20"/>
      <c r="G94" s="21"/>
      <c r="H94" s="24" t="s">
        <v>331</v>
      </c>
      <c r="I94" s="24" t="s">
        <v>331</v>
      </c>
      <c r="J94" s="21"/>
      <c r="L94" s="21"/>
      <c r="N94" s="21"/>
    </row>
    <row r="95" spans="1:14" x14ac:dyDescent="0.25">
      <c r="A95" s="20"/>
      <c r="B95" s="20"/>
      <c r="C95" s="20"/>
      <c r="D95" s="115"/>
      <c r="E95" s="115"/>
      <c r="F95" s="20"/>
      <c r="G95" s="21"/>
      <c r="H95" s="24" t="s">
        <v>987</v>
      </c>
      <c r="I95" s="24"/>
      <c r="J95" s="21"/>
      <c r="L95" s="21"/>
      <c r="N95" s="21"/>
    </row>
    <row r="96" spans="1:14" x14ac:dyDescent="0.25">
      <c r="A96" s="20"/>
      <c r="B96" s="20"/>
      <c r="C96" s="20"/>
      <c r="D96" s="115"/>
      <c r="E96" s="115"/>
      <c r="F96" s="20"/>
      <c r="G96" s="21"/>
      <c r="H96" s="24" t="s">
        <v>988</v>
      </c>
      <c r="I96" s="24"/>
      <c r="J96" s="21"/>
      <c r="L96" s="21"/>
      <c r="N96" s="21"/>
    </row>
    <row r="97" spans="1:14" x14ac:dyDescent="0.25">
      <c r="A97" s="20"/>
      <c r="B97" s="20"/>
      <c r="C97" s="20"/>
      <c r="D97" s="115"/>
      <c r="E97" s="115"/>
      <c r="F97" s="20"/>
      <c r="G97" s="21"/>
      <c r="H97" s="24" t="s">
        <v>989</v>
      </c>
      <c r="I97" s="24"/>
      <c r="J97" s="21"/>
      <c r="L97" s="21"/>
      <c r="N97" s="21"/>
    </row>
    <row r="98" spans="1:14" x14ac:dyDescent="0.25">
      <c r="A98" s="20"/>
      <c r="B98" s="20"/>
      <c r="C98" s="20"/>
      <c r="D98" s="115"/>
      <c r="E98" s="115"/>
      <c r="F98" s="20"/>
      <c r="G98" s="21"/>
      <c r="H98" s="24" t="s">
        <v>990</v>
      </c>
      <c r="I98" s="24" t="s">
        <v>990</v>
      </c>
      <c r="J98" s="21"/>
      <c r="L98" s="21"/>
      <c r="N98" s="21"/>
    </row>
    <row r="99" spans="1:14" x14ac:dyDescent="0.25">
      <c r="A99" s="20"/>
      <c r="B99" s="20"/>
      <c r="C99" s="20"/>
      <c r="D99" s="115"/>
      <c r="E99" s="115"/>
      <c r="F99" s="20"/>
      <c r="G99" s="21"/>
      <c r="H99" s="24" t="s">
        <v>713</v>
      </c>
      <c r="I99" s="24"/>
      <c r="J99" s="21"/>
      <c r="L99" s="21"/>
      <c r="N99" s="21"/>
    </row>
    <row r="100" spans="1:14" x14ac:dyDescent="0.25">
      <c r="A100" s="20"/>
      <c r="B100" s="20"/>
      <c r="C100" s="20"/>
      <c r="D100" s="115"/>
      <c r="E100" s="115"/>
      <c r="F100" s="20"/>
      <c r="G100" s="21"/>
      <c r="H100" s="24" t="s">
        <v>635</v>
      </c>
      <c r="I100" s="24" t="s">
        <v>635</v>
      </c>
      <c r="J100" s="21"/>
      <c r="L100" s="21"/>
      <c r="N100" s="21"/>
    </row>
    <row r="101" spans="1:14" x14ac:dyDescent="0.25">
      <c r="A101" s="20"/>
      <c r="B101" s="20"/>
      <c r="C101" s="20"/>
      <c r="D101" s="115"/>
      <c r="E101" s="115"/>
      <c r="F101" s="20"/>
      <c r="G101" s="21"/>
      <c r="H101" s="24" t="s">
        <v>991</v>
      </c>
      <c r="I101" s="24" t="s">
        <v>454</v>
      </c>
      <c r="J101" s="21"/>
      <c r="L101" s="21"/>
      <c r="N101" s="21"/>
    </row>
    <row r="102" spans="1:14" x14ac:dyDescent="0.25">
      <c r="A102" s="20"/>
      <c r="B102" s="20"/>
      <c r="C102" s="20"/>
      <c r="D102" s="115"/>
      <c r="E102" s="115"/>
      <c r="F102" s="20"/>
      <c r="G102" s="21"/>
      <c r="H102" s="24" t="s">
        <v>992</v>
      </c>
      <c r="I102" s="24" t="s">
        <v>992</v>
      </c>
      <c r="J102" s="21"/>
      <c r="L102" s="21"/>
      <c r="N102" s="21"/>
    </row>
    <row r="103" spans="1:14" x14ac:dyDescent="0.25">
      <c r="A103" s="20"/>
      <c r="B103" s="20"/>
      <c r="C103" s="20"/>
      <c r="D103" s="115"/>
      <c r="E103" s="115"/>
      <c r="F103" s="20"/>
      <c r="G103" s="21"/>
      <c r="H103" s="24" t="s">
        <v>993</v>
      </c>
      <c r="I103" s="24"/>
      <c r="J103" s="21"/>
      <c r="L103" s="21"/>
      <c r="N103" s="21"/>
    </row>
    <row r="104" spans="1:14" x14ac:dyDescent="0.25">
      <c r="A104" s="20"/>
      <c r="B104" s="20"/>
      <c r="C104" s="20"/>
      <c r="D104" s="115"/>
      <c r="E104" s="115"/>
      <c r="F104" s="20"/>
      <c r="G104" s="21"/>
      <c r="H104" s="24" t="s">
        <v>451</v>
      </c>
      <c r="I104" s="24" t="s">
        <v>451</v>
      </c>
      <c r="J104" s="21"/>
      <c r="L104" s="21"/>
      <c r="N104" s="21"/>
    </row>
    <row r="105" spans="1:14" x14ac:dyDescent="0.25">
      <c r="A105" s="20"/>
      <c r="B105" s="20"/>
      <c r="C105" s="20"/>
      <c r="D105" s="115"/>
      <c r="E105" s="115"/>
      <c r="F105" s="20"/>
      <c r="G105" s="21"/>
      <c r="H105" s="24" t="s">
        <v>994</v>
      </c>
      <c r="I105" s="24"/>
      <c r="J105" s="21"/>
      <c r="L105" s="21"/>
      <c r="N105" s="21"/>
    </row>
    <row r="106" spans="1:14" x14ac:dyDescent="0.25">
      <c r="A106" s="20"/>
      <c r="B106" s="20"/>
      <c r="C106" s="20"/>
      <c r="D106" s="115"/>
      <c r="E106" s="115"/>
      <c r="F106" s="20"/>
      <c r="G106" s="21"/>
      <c r="H106" s="24" t="s">
        <v>995</v>
      </c>
      <c r="I106" s="24"/>
      <c r="J106" s="21"/>
      <c r="L106" s="21"/>
      <c r="N106" s="21"/>
    </row>
    <row r="107" spans="1:14" x14ac:dyDescent="0.25">
      <c r="A107" s="20"/>
      <c r="B107" s="20"/>
      <c r="C107" s="20"/>
      <c r="D107" s="115"/>
      <c r="E107" s="115"/>
      <c r="F107" s="20"/>
      <c r="G107" s="21"/>
      <c r="H107" s="24" t="s">
        <v>236</v>
      </c>
      <c r="I107" s="24" t="s">
        <v>236</v>
      </c>
      <c r="J107" s="21"/>
      <c r="L107" s="21"/>
      <c r="N107" s="21"/>
    </row>
    <row r="108" spans="1:14" x14ac:dyDescent="0.25">
      <c r="A108" s="20"/>
      <c r="B108" s="20"/>
      <c r="C108" s="20"/>
      <c r="D108" s="115"/>
      <c r="E108" s="115"/>
      <c r="F108" s="20"/>
      <c r="G108" s="21"/>
      <c r="H108" s="24" t="s">
        <v>996</v>
      </c>
      <c r="I108" s="24"/>
      <c r="J108" s="21"/>
      <c r="L108" s="21"/>
      <c r="N108" s="21"/>
    </row>
    <row r="109" spans="1:14" x14ac:dyDescent="0.25">
      <c r="A109" s="20"/>
      <c r="B109" s="20"/>
      <c r="C109" s="20"/>
      <c r="D109" s="115"/>
      <c r="E109" s="115"/>
      <c r="F109" s="20"/>
      <c r="G109" s="21"/>
      <c r="H109" s="24" t="s">
        <v>997</v>
      </c>
      <c r="I109" s="24"/>
      <c r="J109" s="21"/>
      <c r="L109" s="21"/>
      <c r="N109" s="21"/>
    </row>
    <row r="110" spans="1:14" x14ac:dyDescent="0.25">
      <c r="A110" s="20"/>
      <c r="B110" s="20"/>
      <c r="C110" s="20"/>
      <c r="D110" s="115"/>
      <c r="E110" s="115"/>
      <c r="F110" s="20"/>
      <c r="G110" s="21"/>
      <c r="H110" s="24" t="s">
        <v>998</v>
      </c>
      <c r="I110" s="24"/>
      <c r="J110" s="21"/>
      <c r="L110" s="21"/>
      <c r="N110" s="21"/>
    </row>
    <row r="111" spans="1:14" x14ac:dyDescent="0.25">
      <c r="A111" s="20"/>
      <c r="B111" s="20"/>
      <c r="C111" s="20"/>
      <c r="D111" s="115"/>
      <c r="E111" s="115"/>
      <c r="F111" s="20"/>
      <c r="G111" s="21"/>
      <c r="H111" s="24" t="s">
        <v>230</v>
      </c>
      <c r="I111" s="24" t="s">
        <v>230</v>
      </c>
      <c r="J111" s="21"/>
      <c r="L111" s="21"/>
      <c r="N111" s="21"/>
    </row>
    <row r="112" spans="1:14" x14ac:dyDescent="0.25">
      <c r="A112" s="20"/>
      <c r="B112" s="20"/>
      <c r="C112" s="20"/>
      <c r="D112" s="115"/>
      <c r="E112" s="115"/>
      <c r="F112" s="20"/>
      <c r="G112" s="21"/>
      <c r="H112" s="24" t="s">
        <v>999</v>
      </c>
      <c r="I112" s="24" t="s">
        <v>230</v>
      </c>
      <c r="J112" s="21"/>
      <c r="L112" s="21"/>
      <c r="N112" s="21"/>
    </row>
    <row r="113" spans="1:14" x14ac:dyDescent="0.25">
      <c r="A113" s="20"/>
      <c r="B113" s="20"/>
      <c r="C113" s="20"/>
      <c r="D113" s="115"/>
      <c r="E113" s="115"/>
      <c r="F113" s="20"/>
      <c r="G113" s="21"/>
      <c r="H113" s="24" t="s">
        <v>1000</v>
      </c>
      <c r="I113" s="24"/>
      <c r="J113" s="21"/>
      <c r="L113" s="21"/>
      <c r="N113" s="21"/>
    </row>
    <row r="114" spans="1:14" x14ac:dyDescent="0.25">
      <c r="A114" s="20"/>
      <c r="B114" s="20"/>
      <c r="C114" s="20"/>
      <c r="D114" s="115"/>
      <c r="E114" s="115"/>
      <c r="F114" s="20"/>
      <c r="G114" s="21"/>
      <c r="H114" s="24" t="s">
        <v>394</v>
      </c>
      <c r="I114" s="24" t="s">
        <v>394</v>
      </c>
      <c r="J114" s="21"/>
      <c r="L114" s="21"/>
      <c r="N114" s="21"/>
    </row>
    <row r="115" spans="1:14" x14ac:dyDescent="0.25">
      <c r="A115" s="20"/>
      <c r="B115" s="20"/>
      <c r="C115" s="20"/>
      <c r="D115" s="115"/>
      <c r="E115" s="115"/>
      <c r="F115" s="20"/>
      <c r="G115" s="21"/>
      <c r="H115" s="24" t="s">
        <v>1001</v>
      </c>
      <c r="I115" s="24"/>
      <c r="J115" s="21"/>
      <c r="L115" s="21"/>
      <c r="N115" s="21"/>
    </row>
    <row r="116" spans="1:14" x14ac:dyDescent="0.25">
      <c r="A116" s="20"/>
      <c r="B116" s="20"/>
      <c r="C116" s="20"/>
      <c r="D116" s="115"/>
      <c r="E116" s="115"/>
      <c r="F116" s="20"/>
      <c r="G116" s="21"/>
      <c r="H116" s="24" t="s">
        <v>1002</v>
      </c>
      <c r="I116" s="24"/>
      <c r="J116" s="21"/>
      <c r="L116" s="21"/>
      <c r="N116" s="21"/>
    </row>
    <row r="117" spans="1:14" x14ac:dyDescent="0.25">
      <c r="A117" s="20"/>
      <c r="B117" s="20"/>
      <c r="C117" s="20"/>
      <c r="D117" s="115"/>
      <c r="E117" s="115"/>
      <c r="F117" s="20"/>
      <c r="G117" s="21"/>
      <c r="H117" s="24" t="s">
        <v>1003</v>
      </c>
      <c r="I117" s="24"/>
      <c r="J117" s="21"/>
      <c r="L117" s="21"/>
      <c r="N117" s="21"/>
    </row>
    <row r="118" spans="1:14" x14ac:dyDescent="0.25">
      <c r="A118" s="20"/>
      <c r="B118" s="20"/>
      <c r="C118" s="20"/>
      <c r="D118" s="115"/>
      <c r="E118" s="115"/>
      <c r="F118" s="20"/>
      <c r="G118" s="21"/>
      <c r="H118" s="24" t="s">
        <v>193</v>
      </c>
      <c r="I118" s="24" t="s">
        <v>193</v>
      </c>
      <c r="J118" s="21"/>
      <c r="L118" s="21"/>
      <c r="N118" s="21"/>
    </row>
    <row r="119" spans="1:14" x14ac:dyDescent="0.25">
      <c r="A119" s="20"/>
      <c r="B119" s="20"/>
      <c r="C119" s="20"/>
      <c r="D119" s="115"/>
      <c r="E119" s="115"/>
      <c r="F119" s="20"/>
      <c r="G119" s="21"/>
      <c r="H119" s="24" t="s">
        <v>1004</v>
      </c>
      <c r="I119" s="24"/>
      <c r="J119" s="21"/>
      <c r="L119" s="21"/>
      <c r="N119" s="21"/>
    </row>
    <row r="120" spans="1:14" x14ac:dyDescent="0.25">
      <c r="A120" s="20"/>
      <c r="B120" s="20"/>
      <c r="C120" s="20"/>
      <c r="D120" s="115"/>
      <c r="E120" s="115"/>
      <c r="F120" s="20"/>
      <c r="G120" s="21"/>
      <c r="H120" s="24" t="s">
        <v>1005</v>
      </c>
      <c r="I120" s="24"/>
      <c r="J120" s="21"/>
      <c r="L120" s="21"/>
      <c r="N120" s="21"/>
    </row>
    <row r="121" spans="1:14" x14ac:dyDescent="0.25">
      <c r="A121" s="20"/>
      <c r="B121" s="20"/>
      <c r="C121" s="20"/>
      <c r="D121" s="115"/>
      <c r="E121" s="115"/>
      <c r="F121" s="20"/>
      <c r="G121" s="21"/>
      <c r="H121" s="24" t="s">
        <v>350</v>
      </c>
      <c r="I121" s="24" t="s">
        <v>350</v>
      </c>
      <c r="J121" s="21"/>
      <c r="L121" s="21"/>
      <c r="N121" s="21"/>
    </row>
    <row r="122" spans="1:14" x14ac:dyDescent="0.25">
      <c r="A122" s="20"/>
      <c r="B122" s="20"/>
      <c r="C122" s="20"/>
      <c r="D122" s="115"/>
      <c r="E122" s="115"/>
      <c r="F122" s="20"/>
      <c r="G122" s="21"/>
      <c r="H122" s="24" t="s">
        <v>1006</v>
      </c>
      <c r="I122" s="24"/>
      <c r="J122" s="21"/>
      <c r="L122" s="21"/>
      <c r="N122" s="21"/>
    </row>
    <row r="123" spans="1:14" x14ac:dyDescent="0.25">
      <c r="A123" s="20"/>
      <c r="B123" s="20"/>
      <c r="C123" s="20"/>
      <c r="D123" s="115"/>
      <c r="E123" s="115"/>
      <c r="F123" s="20"/>
      <c r="G123" s="21"/>
      <c r="H123" s="24" t="s">
        <v>1007</v>
      </c>
      <c r="I123" s="24"/>
      <c r="J123" s="21"/>
      <c r="L123" s="21"/>
      <c r="N123" s="21"/>
    </row>
    <row r="124" spans="1:14" x14ac:dyDescent="0.25">
      <c r="A124" s="20"/>
      <c r="B124" s="20"/>
      <c r="C124" s="20"/>
      <c r="D124" s="115"/>
      <c r="E124" s="115"/>
      <c r="F124" s="20"/>
      <c r="G124" s="21"/>
      <c r="H124" s="24" t="s">
        <v>1008</v>
      </c>
      <c r="I124" s="24"/>
      <c r="J124" s="21"/>
      <c r="L124" s="21"/>
      <c r="N124" s="21"/>
    </row>
    <row r="125" spans="1:14" x14ac:dyDescent="0.25">
      <c r="A125" s="20"/>
      <c r="B125" s="20"/>
      <c r="C125" s="20"/>
      <c r="D125" s="115"/>
      <c r="E125" s="115"/>
      <c r="F125" s="20"/>
      <c r="G125" s="21"/>
      <c r="H125" s="24" t="s">
        <v>1009</v>
      </c>
      <c r="I125" s="24"/>
      <c r="J125" s="21"/>
      <c r="L125" s="21"/>
      <c r="N125" s="21"/>
    </row>
    <row r="126" spans="1:14" x14ac:dyDescent="0.25">
      <c r="A126" s="20"/>
      <c r="B126" s="20"/>
      <c r="C126" s="20"/>
      <c r="D126" s="115"/>
      <c r="E126" s="115"/>
      <c r="F126" s="20"/>
      <c r="G126" s="21"/>
      <c r="H126" s="24" t="s">
        <v>1010</v>
      </c>
      <c r="I126" s="24" t="s">
        <v>1010</v>
      </c>
      <c r="J126" s="21"/>
      <c r="L126" s="21"/>
      <c r="N126" s="21"/>
    </row>
    <row r="127" spans="1:14" x14ac:dyDescent="0.25">
      <c r="A127" s="20"/>
      <c r="B127" s="20"/>
      <c r="C127" s="20"/>
      <c r="D127" s="115"/>
      <c r="E127" s="115"/>
      <c r="F127" s="20"/>
      <c r="G127" s="21"/>
      <c r="H127" s="24" t="s">
        <v>1011</v>
      </c>
      <c r="I127" s="24"/>
      <c r="J127" s="21"/>
      <c r="L127" s="21"/>
      <c r="N127" s="21"/>
    </row>
    <row r="128" spans="1:14" x14ac:dyDescent="0.25">
      <c r="A128" s="20"/>
      <c r="B128" s="20"/>
      <c r="C128" s="20"/>
      <c r="D128" s="115"/>
      <c r="E128" s="115"/>
      <c r="F128" s="20"/>
      <c r="G128" s="21"/>
      <c r="H128" s="24" t="s">
        <v>1012</v>
      </c>
      <c r="I128" s="24"/>
      <c r="J128" s="21"/>
      <c r="L128" s="21"/>
      <c r="N128" s="21"/>
    </row>
    <row r="129" spans="1:14" x14ac:dyDescent="0.25">
      <c r="A129" s="20"/>
      <c r="B129" s="20"/>
      <c r="C129" s="20"/>
      <c r="D129" s="115"/>
      <c r="E129" s="115"/>
      <c r="F129" s="20"/>
      <c r="G129" s="21"/>
      <c r="H129" s="24" t="s">
        <v>1013</v>
      </c>
      <c r="I129" s="24"/>
      <c r="J129" s="21"/>
      <c r="L129" s="21"/>
      <c r="N129" s="21"/>
    </row>
    <row r="130" spans="1:14" x14ac:dyDescent="0.25">
      <c r="A130" s="20"/>
      <c r="B130" s="20"/>
      <c r="C130" s="20"/>
      <c r="D130" s="115"/>
      <c r="E130" s="115"/>
      <c r="F130" s="20"/>
      <c r="G130" s="21"/>
      <c r="H130" s="24" t="s">
        <v>1014</v>
      </c>
      <c r="I130" s="24"/>
      <c r="J130" s="21"/>
      <c r="L130" s="21"/>
      <c r="N130" s="21"/>
    </row>
    <row r="131" spans="1:14" x14ac:dyDescent="0.25">
      <c r="A131" s="20"/>
      <c r="B131" s="20"/>
      <c r="C131" s="20"/>
      <c r="D131" s="115"/>
      <c r="E131" s="115"/>
      <c r="F131" s="20"/>
      <c r="G131" s="21"/>
      <c r="H131" s="24" t="s">
        <v>1015</v>
      </c>
      <c r="I131" s="24"/>
      <c r="J131" s="21"/>
      <c r="L131" s="21"/>
      <c r="N131" s="21"/>
    </row>
    <row r="132" spans="1:14" x14ac:dyDescent="0.25">
      <c r="A132" s="20"/>
      <c r="B132" s="20"/>
      <c r="C132" s="20"/>
      <c r="D132" s="115"/>
      <c r="E132" s="115"/>
      <c r="F132" s="20"/>
      <c r="G132" s="21"/>
      <c r="H132" s="24" t="s">
        <v>1016</v>
      </c>
      <c r="I132" s="24"/>
      <c r="J132" s="21"/>
      <c r="L132" s="21"/>
      <c r="N132" s="21"/>
    </row>
    <row r="133" spans="1:14" x14ac:dyDescent="0.25">
      <c r="A133" s="20"/>
      <c r="B133" s="20"/>
      <c r="C133" s="20"/>
      <c r="D133" s="115"/>
      <c r="E133" s="115"/>
      <c r="F133" s="20"/>
      <c r="G133" s="21"/>
      <c r="H133" s="24" t="s">
        <v>292</v>
      </c>
      <c r="I133" s="24" t="s">
        <v>292</v>
      </c>
      <c r="J133" s="21"/>
      <c r="L133" s="21"/>
      <c r="N133" s="21"/>
    </row>
    <row r="134" spans="1:14" x14ac:dyDescent="0.25">
      <c r="A134" s="20"/>
      <c r="B134" s="20"/>
      <c r="C134" s="20"/>
      <c r="D134" s="115"/>
      <c r="E134" s="115"/>
      <c r="F134" s="20"/>
      <c r="G134" s="21"/>
      <c r="H134" s="24" t="s">
        <v>1017</v>
      </c>
      <c r="I134" s="24"/>
      <c r="J134" s="21"/>
      <c r="L134" s="21"/>
      <c r="N134" s="21"/>
    </row>
    <row r="135" spans="1:14" x14ac:dyDescent="0.25">
      <c r="A135" s="20"/>
      <c r="B135" s="20"/>
      <c r="C135" s="20"/>
      <c r="D135" s="115"/>
      <c r="E135" s="115"/>
      <c r="F135" s="20"/>
      <c r="G135" s="21"/>
      <c r="H135" s="24" t="s">
        <v>186</v>
      </c>
      <c r="I135" s="24" t="s">
        <v>186</v>
      </c>
      <c r="J135" s="21"/>
      <c r="L135" s="21"/>
      <c r="N135" s="21"/>
    </row>
    <row r="136" spans="1:14" x14ac:dyDescent="0.25">
      <c r="A136" s="20"/>
      <c r="B136" s="20"/>
      <c r="C136" s="20"/>
      <c r="D136" s="115"/>
      <c r="E136" s="115"/>
      <c r="F136" s="20"/>
      <c r="G136" s="21"/>
      <c r="H136" s="24" t="s">
        <v>1018</v>
      </c>
      <c r="I136" s="24"/>
      <c r="J136" s="21"/>
      <c r="L136" s="21"/>
      <c r="N136" s="21"/>
    </row>
    <row r="137" spans="1:14" x14ac:dyDescent="0.25">
      <c r="A137" s="20"/>
      <c r="B137" s="20"/>
      <c r="C137" s="20"/>
      <c r="D137" s="115"/>
      <c r="E137" s="115"/>
      <c r="F137" s="20"/>
      <c r="G137" s="21"/>
      <c r="H137" s="24" t="s">
        <v>1019</v>
      </c>
      <c r="I137" s="24"/>
      <c r="J137" s="21"/>
      <c r="L137" s="21"/>
      <c r="N137" s="21"/>
    </row>
    <row r="138" spans="1:14" x14ac:dyDescent="0.25">
      <c r="A138" s="20"/>
      <c r="B138" s="20"/>
      <c r="C138" s="20"/>
      <c r="D138" s="115"/>
      <c r="E138" s="115"/>
      <c r="F138" s="20"/>
      <c r="G138" s="21"/>
      <c r="H138" s="24" t="s">
        <v>1020</v>
      </c>
      <c r="I138" s="24"/>
      <c r="J138" s="21"/>
      <c r="L138" s="21"/>
      <c r="N138" s="21"/>
    </row>
    <row r="139" spans="1:14" x14ac:dyDescent="0.25">
      <c r="A139" s="20"/>
      <c r="B139" s="20"/>
      <c r="C139" s="20"/>
      <c r="D139" s="115"/>
      <c r="E139" s="115"/>
      <c r="F139" s="20"/>
      <c r="G139" s="21"/>
      <c r="H139" s="24" t="s">
        <v>1021</v>
      </c>
      <c r="I139" s="24" t="s">
        <v>394</v>
      </c>
      <c r="J139" s="21"/>
      <c r="L139" s="21"/>
      <c r="N139" s="21"/>
    </row>
    <row r="140" spans="1:14" x14ac:dyDescent="0.25">
      <c r="A140" s="20"/>
      <c r="B140" s="20"/>
      <c r="C140" s="20"/>
      <c r="D140" s="115"/>
      <c r="E140" s="115"/>
      <c r="F140" s="20"/>
      <c r="G140" s="21"/>
      <c r="H140" s="24" t="s">
        <v>1022</v>
      </c>
      <c r="I140" s="24" t="s">
        <v>372</v>
      </c>
      <c r="J140" s="21"/>
      <c r="L140" s="21"/>
      <c r="N140" s="21"/>
    </row>
    <row r="141" spans="1:14" x14ac:dyDescent="0.25">
      <c r="A141" s="20"/>
      <c r="B141" s="20"/>
      <c r="C141" s="20"/>
      <c r="D141" s="115"/>
      <c r="E141" s="115"/>
      <c r="F141" s="20"/>
      <c r="G141" s="21"/>
      <c r="H141" s="24" t="s">
        <v>372</v>
      </c>
      <c r="I141" s="24" t="s">
        <v>372</v>
      </c>
      <c r="J141" s="21"/>
      <c r="L141" s="21"/>
      <c r="N141" s="21"/>
    </row>
    <row r="142" spans="1:14" x14ac:dyDescent="0.25">
      <c r="A142" s="20"/>
      <c r="B142" s="20"/>
      <c r="C142" s="20"/>
      <c r="D142" s="115"/>
      <c r="E142" s="115"/>
      <c r="F142" s="20"/>
      <c r="G142" s="21"/>
      <c r="H142" s="24" t="s">
        <v>1023</v>
      </c>
      <c r="I142" s="24"/>
      <c r="J142" s="21"/>
      <c r="L142" s="21"/>
      <c r="N142" s="21"/>
    </row>
    <row r="143" spans="1:14" x14ac:dyDescent="0.25">
      <c r="A143" s="20"/>
      <c r="B143" s="20"/>
      <c r="C143" s="20"/>
      <c r="D143" s="115"/>
      <c r="E143" s="115"/>
      <c r="F143" s="20"/>
      <c r="G143" s="21"/>
      <c r="H143" s="24" t="s">
        <v>1024</v>
      </c>
      <c r="I143" s="24" t="s">
        <v>1024</v>
      </c>
      <c r="J143" s="21"/>
      <c r="L143" s="21"/>
      <c r="N143" s="21"/>
    </row>
    <row r="144" spans="1:14" x14ac:dyDescent="0.25">
      <c r="A144" s="20"/>
      <c r="B144" s="20"/>
      <c r="C144" s="20"/>
      <c r="D144" s="115"/>
      <c r="E144" s="115"/>
      <c r="F144" s="20"/>
      <c r="G144" s="21"/>
      <c r="H144" s="24" t="s">
        <v>1025</v>
      </c>
      <c r="I144" s="24"/>
      <c r="J144" s="21"/>
      <c r="L144" s="21"/>
      <c r="N144" s="21"/>
    </row>
    <row r="145" spans="1:14" x14ac:dyDescent="0.25">
      <c r="A145" s="20"/>
      <c r="B145" s="20"/>
      <c r="C145" s="20"/>
      <c r="D145" s="115"/>
      <c r="E145" s="115"/>
      <c r="F145" s="20"/>
      <c r="G145" s="21"/>
      <c r="H145" s="24" t="s">
        <v>1026</v>
      </c>
      <c r="I145" s="24"/>
      <c r="J145" s="21"/>
      <c r="L145" s="21"/>
      <c r="N145" s="21"/>
    </row>
    <row r="146" spans="1:14" x14ac:dyDescent="0.25">
      <c r="A146" s="20"/>
      <c r="B146" s="20"/>
      <c r="C146" s="20"/>
      <c r="D146" s="115"/>
      <c r="E146" s="115"/>
      <c r="F146" s="20"/>
      <c r="G146" s="21"/>
      <c r="H146" s="24" t="s">
        <v>1027</v>
      </c>
      <c r="I146" s="24"/>
      <c r="J146" s="21"/>
      <c r="L146" s="21"/>
      <c r="N146" s="21"/>
    </row>
    <row r="147" spans="1:14" x14ac:dyDescent="0.25">
      <c r="A147" s="20"/>
      <c r="B147" s="20"/>
      <c r="C147" s="20"/>
      <c r="D147" s="115"/>
      <c r="E147" s="115"/>
      <c r="F147" s="20"/>
      <c r="G147" s="21"/>
      <c r="H147" s="24" t="s">
        <v>1028</v>
      </c>
      <c r="I147" s="24"/>
      <c r="J147" s="21"/>
      <c r="L147" s="21"/>
      <c r="N147" s="21"/>
    </row>
    <row r="148" spans="1:14" x14ac:dyDescent="0.25">
      <c r="A148" s="20"/>
      <c r="B148" s="20"/>
      <c r="C148" s="20"/>
      <c r="D148" s="115"/>
      <c r="E148" s="115"/>
      <c r="F148" s="20"/>
      <c r="G148" s="21"/>
      <c r="H148" s="24" t="s">
        <v>1029</v>
      </c>
      <c r="I148" s="24"/>
      <c r="J148" s="21"/>
      <c r="L148" s="21"/>
      <c r="N148" s="21"/>
    </row>
    <row r="149" spans="1:14" x14ac:dyDescent="0.25">
      <c r="A149" s="20"/>
      <c r="B149" s="20"/>
      <c r="C149" s="20"/>
      <c r="D149" s="115"/>
      <c r="E149" s="115"/>
      <c r="F149" s="20"/>
      <c r="G149" s="21"/>
      <c r="H149" s="24" t="s">
        <v>1030</v>
      </c>
      <c r="I149" s="24"/>
      <c r="J149" s="21"/>
      <c r="L149" s="21"/>
      <c r="N149" s="21"/>
    </row>
    <row r="150" spans="1:14" x14ac:dyDescent="0.25">
      <c r="A150" s="20"/>
      <c r="B150" s="20"/>
      <c r="C150" s="20"/>
      <c r="D150" s="115"/>
      <c r="E150" s="115"/>
      <c r="F150" s="20"/>
      <c r="G150" s="21"/>
      <c r="H150" s="24" t="s">
        <v>1031</v>
      </c>
      <c r="I150" s="24"/>
      <c r="J150" s="21"/>
      <c r="L150" s="21"/>
      <c r="N150" s="21"/>
    </row>
    <row r="151" spans="1:14" x14ac:dyDescent="0.25">
      <c r="A151" s="20"/>
      <c r="B151" s="20"/>
      <c r="C151" s="20"/>
      <c r="D151" s="115"/>
      <c r="E151" s="115"/>
      <c r="F151" s="20"/>
      <c r="G151" s="21"/>
      <c r="H151" s="24" t="s">
        <v>455</v>
      </c>
      <c r="I151" s="24" t="s">
        <v>455</v>
      </c>
      <c r="J151" s="21"/>
      <c r="L151" s="21"/>
      <c r="N151" s="21"/>
    </row>
    <row r="152" spans="1:14" x14ac:dyDescent="0.25">
      <c r="A152" s="20"/>
      <c r="B152" s="20"/>
      <c r="C152" s="20"/>
      <c r="D152" s="115"/>
      <c r="E152" s="115"/>
      <c r="F152" s="20"/>
      <c r="G152" s="21"/>
      <c r="H152" s="24" t="s">
        <v>1032</v>
      </c>
      <c r="I152" s="24"/>
      <c r="J152" s="21"/>
      <c r="L152" s="21"/>
      <c r="N152" s="21"/>
    </row>
    <row r="153" spans="1:14" x14ac:dyDescent="0.25">
      <c r="A153" s="20"/>
      <c r="B153" s="20"/>
      <c r="C153" s="20"/>
      <c r="D153" s="115"/>
      <c r="E153" s="115"/>
      <c r="F153" s="20"/>
      <c r="G153" s="21"/>
      <c r="H153" s="24" t="s">
        <v>1033</v>
      </c>
      <c r="I153" s="24"/>
      <c r="J153" s="21"/>
      <c r="L153" s="21"/>
      <c r="N153" s="21"/>
    </row>
    <row r="154" spans="1:14" x14ac:dyDescent="0.25">
      <c r="A154" s="20"/>
      <c r="B154" s="20"/>
      <c r="C154" s="20"/>
      <c r="D154" s="115"/>
      <c r="E154" s="115"/>
      <c r="F154" s="20"/>
      <c r="G154" s="21"/>
      <c r="H154" s="24" t="s">
        <v>1034</v>
      </c>
      <c r="I154" s="24"/>
      <c r="J154" s="21"/>
      <c r="L154" s="21"/>
      <c r="N154" s="21"/>
    </row>
    <row r="155" spans="1:14" x14ac:dyDescent="0.25">
      <c r="A155" s="20"/>
      <c r="B155" s="20"/>
      <c r="C155" s="20"/>
      <c r="D155" s="115"/>
      <c r="E155" s="115"/>
      <c r="F155" s="20"/>
      <c r="G155" s="21"/>
      <c r="H155" s="24" t="s">
        <v>1035</v>
      </c>
      <c r="I155" s="24"/>
      <c r="J155" s="21"/>
      <c r="L155" s="21"/>
      <c r="N155" s="21"/>
    </row>
    <row r="156" spans="1:14" x14ac:dyDescent="0.25">
      <c r="A156" s="20"/>
      <c r="B156" s="20"/>
      <c r="C156" s="20"/>
      <c r="D156" s="115"/>
      <c r="E156" s="115"/>
      <c r="F156" s="20"/>
      <c r="G156" s="21"/>
      <c r="H156" s="24" t="s">
        <v>1036</v>
      </c>
      <c r="I156" s="24"/>
      <c r="J156" s="21"/>
      <c r="L156" s="21"/>
      <c r="N156" s="21"/>
    </row>
    <row r="157" spans="1:14" x14ac:dyDescent="0.25">
      <c r="A157" s="20"/>
      <c r="B157" s="20"/>
      <c r="C157" s="20"/>
      <c r="D157" s="115"/>
      <c r="E157" s="115"/>
      <c r="F157" s="20"/>
      <c r="G157" s="21"/>
      <c r="H157" s="24" t="s">
        <v>220</v>
      </c>
      <c r="I157" s="24" t="s">
        <v>220</v>
      </c>
      <c r="J157" s="21"/>
      <c r="L157" s="21"/>
      <c r="N157" s="21"/>
    </row>
    <row r="158" spans="1:14" x14ac:dyDescent="0.25">
      <c r="A158" s="20"/>
      <c r="B158" s="20"/>
      <c r="C158" s="20"/>
      <c r="D158" s="115"/>
      <c r="E158" s="115"/>
      <c r="F158" s="20"/>
      <c r="G158" s="21"/>
      <c r="H158" s="24" t="s">
        <v>368</v>
      </c>
      <c r="I158" s="24" t="s">
        <v>368</v>
      </c>
      <c r="J158" s="21"/>
      <c r="L158" s="21"/>
      <c r="N158" s="21"/>
    </row>
    <row r="159" spans="1:14" x14ac:dyDescent="0.25">
      <c r="A159" s="20"/>
      <c r="B159" s="20"/>
      <c r="C159" s="20"/>
      <c r="D159" s="115"/>
      <c r="E159" s="115"/>
      <c r="F159" s="20"/>
      <c r="G159" s="21"/>
      <c r="H159" s="24" t="s">
        <v>1037</v>
      </c>
      <c r="I159" s="24"/>
      <c r="J159" s="21"/>
      <c r="L159" s="21"/>
      <c r="N159" s="21"/>
    </row>
    <row r="160" spans="1:14" x14ac:dyDescent="0.25">
      <c r="A160" s="20"/>
      <c r="B160" s="20"/>
      <c r="C160" s="20"/>
      <c r="D160" s="115"/>
      <c r="E160" s="115"/>
      <c r="F160" s="20"/>
      <c r="G160" s="21"/>
      <c r="H160" s="24" t="s">
        <v>1038</v>
      </c>
      <c r="I160" s="24"/>
      <c r="J160" s="21"/>
      <c r="L160" s="21"/>
      <c r="N160" s="21"/>
    </row>
    <row r="161" spans="1:14" x14ac:dyDescent="0.25">
      <c r="A161" s="20"/>
      <c r="B161" s="20"/>
      <c r="C161" s="20"/>
      <c r="D161" s="115"/>
      <c r="E161" s="115"/>
      <c r="F161" s="20"/>
      <c r="G161" s="21"/>
      <c r="H161" s="24" t="s">
        <v>364</v>
      </c>
      <c r="I161" s="24" t="s">
        <v>364</v>
      </c>
      <c r="J161" s="21"/>
      <c r="L161" s="21"/>
      <c r="N161" s="21"/>
    </row>
    <row r="162" spans="1:14" x14ac:dyDescent="0.25">
      <c r="A162" s="20"/>
      <c r="B162" s="20"/>
      <c r="C162" s="20"/>
      <c r="D162" s="115"/>
      <c r="E162" s="115"/>
      <c r="F162" s="20"/>
      <c r="G162" s="21"/>
      <c r="H162" s="24" t="s">
        <v>196</v>
      </c>
      <c r="I162" s="24" t="s">
        <v>196</v>
      </c>
      <c r="J162" s="21"/>
      <c r="L162" s="21"/>
      <c r="N162" s="21"/>
    </row>
    <row r="163" spans="1:14" x14ac:dyDescent="0.25">
      <c r="A163" s="20"/>
      <c r="B163" s="20"/>
      <c r="C163" s="20"/>
      <c r="D163" s="115"/>
      <c r="E163" s="115"/>
      <c r="F163" s="20"/>
      <c r="G163" s="21"/>
      <c r="H163" s="24" t="s">
        <v>351</v>
      </c>
      <c r="I163" s="24" t="s">
        <v>351</v>
      </c>
      <c r="J163" s="21"/>
      <c r="L163" s="21"/>
      <c r="N163" s="21"/>
    </row>
    <row r="164" spans="1:14" x14ac:dyDescent="0.25">
      <c r="A164" s="20"/>
      <c r="B164" s="20"/>
      <c r="C164" s="20"/>
      <c r="D164" s="115"/>
      <c r="E164" s="115"/>
      <c r="F164" s="20"/>
      <c r="G164" s="21"/>
      <c r="H164" s="24" t="s">
        <v>1039</v>
      </c>
      <c r="I164" s="24" t="s">
        <v>625</v>
      </c>
      <c r="J164" s="21"/>
      <c r="L164" s="21"/>
      <c r="N164" s="21"/>
    </row>
    <row r="165" spans="1:14" x14ac:dyDescent="0.25">
      <c r="A165" s="20"/>
      <c r="B165" s="20"/>
      <c r="C165" s="20"/>
      <c r="D165" s="115"/>
      <c r="E165" s="115"/>
      <c r="F165" s="20"/>
      <c r="G165" s="21"/>
      <c r="H165" s="24" t="s">
        <v>1040</v>
      </c>
      <c r="I165" s="24"/>
      <c r="J165" s="21"/>
      <c r="L165" s="21"/>
      <c r="N165" s="21"/>
    </row>
    <row r="166" spans="1:14" x14ac:dyDescent="0.25">
      <c r="A166" s="20"/>
      <c r="B166" s="20"/>
      <c r="C166" s="20"/>
      <c r="D166" s="115"/>
      <c r="E166" s="115"/>
      <c r="F166" s="20"/>
      <c r="G166" s="21"/>
      <c r="H166" s="24" t="s">
        <v>1041</v>
      </c>
      <c r="I166" s="24" t="s">
        <v>333</v>
      </c>
      <c r="J166" s="21"/>
      <c r="L166" s="21"/>
      <c r="N166" s="21"/>
    </row>
    <row r="167" spans="1:14" x14ac:dyDescent="0.25">
      <c r="A167" s="20"/>
      <c r="B167" s="20"/>
      <c r="C167" s="20"/>
      <c r="D167" s="115"/>
      <c r="E167" s="115"/>
      <c r="F167" s="20"/>
      <c r="G167" s="21"/>
      <c r="H167" s="24" t="s">
        <v>1042</v>
      </c>
      <c r="I167" s="24"/>
      <c r="J167" s="21"/>
      <c r="L167" s="21"/>
      <c r="N167" s="21"/>
    </row>
    <row r="168" spans="1:14" x14ac:dyDescent="0.25">
      <c r="A168" s="20"/>
      <c r="B168" s="20"/>
      <c r="C168" s="20"/>
      <c r="D168" s="115"/>
      <c r="E168" s="115"/>
      <c r="F168" s="20"/>
      <c r="G168" s="21"/>
      <c r="H168" s="24" t="s">
        <v>392</v>
      </c>
      <c r="I168" s="24" t="s">
        <v>220</v>
      </c>
      <c r="J168" s="21"/>
      <c r="L168" s="21"/>
      <c r="N168" s="21"/>
    </row>
    <row r="169" spans="1:14" x14ac:dyDescent="0.25">
      <c r="A169" s="20"/>
      <c r="B169" s="20"/>
      <c r="C169" s="20"/>
      <c r="D169" s="115"/>
      <c r="E169" s="115"/>
      <c r="F169" s="20"/>
      <c r="G169" s="21"/>
      <c r="H169" s="24" t="s">
        <v>1043</v>
      </c>
      <c r="I169" s="24"/>
      <c r="J169" s="21"/>
      <c r="L169" s="21"/>
      <c r="N169" s="21"/>
    </row>
    <row r="170" spans="1:14" x14ac:dyDescent="0.25">
      <c r="A170" s="20"/>
      <c r="B170" s="20"/>
      <c r="C170" s="20"/>
      <c r="D170" s="115"/>
      <c r="E170" s="115"/>
      <c r="F170" s="20"/>
      <c r="G170" s="21"/>
      <c r="H170" s="24" t="s">
        <v>696</v>
      </c>
      <c r="I170" s="24"/>
      <c r="J170" s="21"/>
      <c r="L170" s="21"/>
      <c r="N170" s="21"/>
    </row>
    <row r="171" spans="1:14" x14ac:dyDescent="0.25">
      <c r="A171" s="20"/>
      <c r="B171" s="20"/>
      <c r="C171" s="20"/>
      <c r="D171" s="115"/>
      <c r="E171" s="115"/>
      <c r="F171" s="20"/>
      <c r="G171" s="21"/>
      <c r="H171" s="24" t="s">
        <v>1044</v>
      </c>
      <c r="I171" s="24"/>
      <c r="J171" s="21"/>
      <c r="L171" s="21"/>
      <c r="N171" s="21"/>
    </row>
    <row r="172" spans="1:14" x14ac:dyDescent="0.25">
      <c r="A172" s="20"/>
      <c r="B172" s="20"/>
      <c r="C172" s="20"/>
      <c r="D172" s="115"/>
      <c r="E172" s="115"/>
      <c r="F172" s="20"/>
      <c r="G172" s="21"/>
      <c r="H172" s="24" t="s">
        <v>1045</v>
      </c>
      <c r="I172" s="24"/>
      <c r="J172" s="21"/>
      <c r="L172" s="21"/>
      <c r="N172" s="21"/>
    </row>
    <row r="173" spans="1:14" x14ac:dyDescent="0.25">
      <c r="A173" s="20"/>
      <c r="B173" s="20"/>
      <c r="C173" s="20"/>
      <c r="D173" s="115"/>
      <c r="E173" s="115"/>
      <c r="F173" s="20"/>
      <c r="G173" s="21"/>
      <c r="H173" s="24" t="s">
        <v>1046</v>
      </c>
      <c r="I173" s="24"/>
      <c r="J173" s="21"/>
      <c r="L173" s="21"/>
      <c r="N173" s="21"/>
    </row>
    <row r="174" spans="1:14" x14ac:dyDescent="0.25">
      <c r="A174" s="20"/>
      <c r="B174" s="20"/>
      <c r="C174" s="20"/>
      <c r="D174" s="115"/>
      <c r="E174" s="115"/>
      <c r="F174" s="20"/>
      <c r="G174" s="21"/>
      <c r="H174" s="24" t="s">
        <v>1047</v>
      </c>
      <c r="I174" s="24"/>
      <c r="J174" s="21"/>
      <c r="L174" s="21"/>
      <c r="N174" s="21"/>
    </row>
    <row r="175" spans="1:14" x14ac:dyDescent="0.25">
      <c r="A175" s="20"/>
      <c r="B175" s="20"/>
      <c r="C175" s="20"/>
      <c r="D175" s="115"/>
      <c r="E175" s="115"/>
      <c r="F175" s="20"/>
      <c r="G175" s="21"/>
      <c r="H175" s="24" t="s">
        <v>184</v>
      </c>
      <c r="I175" s="24" t="s">
        <v>184</v>
      </c>
      <c r="J175" s="21"/>
      <c r="L175" s="21"/>
      <c r="N175" s="21"/>
    </row>
    <row r="176" spans="1:14" x14ac:dyDescent="0.25">
      <c r="A176" s="20"/>
      <c r="B176" s="20"/>
      <c r="C176" s="20"/>
      <c r="D176" s="115"/>
      <c r="E176" s="115"/>
      <c r="F176" s="20"/>
      <c r="G176" s="21"/>
      <c r="H176" s="24" t="s">
        <v>1048</v>
      </c>
      <c r="I176" s="24"/>
      <c r="J176" s="21"/>
      <c r="L176" s="21"/>
      <c r="N176" s="21"/>
    </row>
    <row r="177" spans="1:14" x14ac:dyDescent="0.25">
      <c r="A177" s="20"/>
      <c r="B177" s="20"/>
      <c r="C177" s="20"/>
      <c r="D177" s="115"/>
      <c r="E177" s="115"/>
      <c r="F177" s="20"/>
      <c r="G177" s="21"/>
      <c r="H177" s="24" t="s">
        <v>1049</v>
      </c>
      <c r="I177" s="24"/>
      <c r="J177" s="21"/>
      <c r="L177" s="21"/>
      <c r="N177" s="21"/>
    </row>
    <row r="178" spans="1:14" x14ac:dyDescent="0.25">
      <c r="A178" s="20"/>
      <c r="B178" s="20"/>
      <c r="C178" s="20"/>
      <c r="D178" s="115"/>
      <c r="E178" s="115"/>
      <c r="F178" s="20"/>
      <c r="G178" s="21"/>
      <c r="H178" s="24" t="s">
        <v>312</v>
      </c>
      <c r="I178" s="24" t="s">
        <v>312</v>
      </c>
      <c r="J178" s="21"/>
      <c r="L178" s="21"/>
      <c r="N178" s="21"/>
    </row>
    <row r="179" spans="1:14" x14ac:dyDescent="0.25">
      <c r="A179" s="20"/>
      <c r="B179" s="20"/>
      <c r="C179" s="20"/>
      <c r="D179" s="115"/>
      <c r="E179" s="115"/>
      <c r="F179" s="20"/>
      <c r="G179" s="21"/>
      <c r="H179" s="24" t="s">
        <v>1050</v>
      </c>
      <c r="I179" s="24"/>
      <c r="J179" s="21"/>
      <c r="L179" s="21"/>
      <c r="N179" s="21"/>
    </row>
    <row r="180" spans="1:14" x14ac:dyDescent="0.25">
      <c r="A180" s="20"/>
      <c r="B180" s="20"/>
      <c r="C180" s="20"/>
      <c r="D180" s="115"/>
      <c r="E180" s="115"/>
      <c r="F180" s="20"/>
      <c r="G180" s="21"/>
      <c r="H180" s="24" t="s">
        <v>1051</v>
      </c>
      <c r="I180" s="24"/>
      <c r="J180" s="21"/>
      <c r="L180" s="21"/>
      <c r="N180" s="21"/>
    </row>
    <row r="181" spans="1:14" x14ac:dyDescent="0.25">
      <c r="A181" s="20"/>
      <c r="B181" s="20"/>
      <c r="C181" s="20"/>
      <c r="D181" s="115"/>
      <c r="E181" s="115"/>
      <c r="F181" s="20"/>
      <c r="G181" s="21"/>
      <c r="H181" s="24" t="s">
        <v>632</v>
      </c>
      <c r="I181" s="24" t="s">
        <v>632</v>
      </c>
      <c r="J181" s="21"/>
      <c r="L181" s="21"/>
      <c r="N181" s="21"/>
    </row>
    <row r="182" spans="1:14" x14ac:dyDescent="0.25">
      <c r="A182" s="20"/>
      <c r="B182" s="20"/>
      <c r="C182" s="20"/>
      <c r="D182" s="115"/>
      <c r="E182" s="115"/>
      <c r="F182" s="20"/>
      <c r="G182" s="21"/>
      <c r="H182" s="24" t="s">
        <v>235</v>
      </c>
      <c r="I182" s="24" t="s">
        <v>235</v>
      </c>
      <c r="J182" s="21"/>
      <c r="L182" s="21"/>
      <c r="N182" s="21"/>
    </row>
    <row r="183" spans="1:14" x14ac:dyDescent="0.25">
      <c r="A183" s="20"/>
      <c r="B183" s="20"/>
      <c r="C183" s="20"/>
      <c r="D183" s="115"/>
      <c r="E183" s="115"/>
      <c r="F183" s="20"/>
      <c r="G183" s="21"/>
      <c r="H183" s="24" t="s">
        <v>1052</v>
      </c>
      <c r="I183" s="24"/>
      <c r="J183" s="21"/>
      <c r="L183" s="21"/>
      <c r="N183" s="21"/>
    </row>
    <row r="184" spans="1:14" x14ac:dyDescent="0.25">
      <c r="A184" s="20"/>
      <c r="B184" s="20"/>
      <c r="C184" s="20"/>
      <c r="D184" s="115"/>
      <c r="E184" s="115"/>
      <c r="F184" s="20"/>
      <c r="G184" s="21"/>
      <c r="H184" s="24" t="s">
        <v>380</v>
      </c>
      <c r="I184" s="24" t="s">
        <v>380</v>
      </c>
      <c r="J184" s="21"/>
      <c r="L184" s="21"/>
      <c r="N184" s="21"/>
    </row>
    <row r="185" spans="1:14" x14ac:dyDescent="0.25">
      <c r="A185" s="20"/>
      <c r="B185" s="20"/>
      <c r="C185" s="20"/>
      <c r="D185" s="115"/>
      <c r="E185" s="115"/>
      <c r="F185" s="20"/>
      <c r="G185" s="21"/>
      <c r="H185" s="24" t="s">
        <v>1053</v>
      </c>
      <c r="I185" s="24" t="s">
        <v>380</v>
      </c>
      <c r="J185" s="21"/>
      <c r="L185" s="21"/>
      <c r="N185" s="21"/>
    </row>
    <row r="186" spans="1:14" x14ac:dyDescent="0.25">
      <c r="A186" s="20"/>
      <c r="B186" s="20"/>
      <c r="C186" s="20"/>
      <c r="D186" s="115"/>
      <c r="E186" s="115"/>
      <c r="F186" s="20"/>
      <c r="G186" s="21"/>
      <c r="H186" s="24" t="s">
        <v>1054</v>
      </c>
      <c r="I186" s="24"/>
      <c r="J186" s="21"/>
      <c r="L186" s="21"/>
      <c r="N186" s="21"/>
    </row>
    <row r="187" spans="1:14" x14ac:dyDescent="0.25">
      <c r="A187" s="20"/>
      <c r="B187" s="20"/>
      <c r="C187" s="20"/>
      <c r="D187" s="115"/>
      <c r="E187" s="115"/>
      <c r="F187" s="20"/>
      <c r="G187" s="21"/>
      <c r="H187" s="24" t="s">
        <v>1055</v>
      </c>
      <c r="I187" s="24"/>
      <c r="J187" s="21"/>
      <c r="L187" s="21"/>
      <c r="N187" s="21"/>
    </row>
    <row r="188" spans="1:14" x14ac:dyDescent="0.25">
      <c r="A188" s="20"/>
      <c r="B188" s="20"/>
      <c r="C188" s="20"/>
      <c r="D188" s="115"/>
      <c r="E188" s="115"/>
      <c r="F188" s="20"/>
      <c r="G188" s="21"/>
      <c r="H188" s="24" t="s">
        <v>202</v>
      </c>
      <c r="I188" s="24" t="s">
        <v>202</v>
      </c>
      <c r="J188" s="21"/>
      <c r="L188" s="21"/>
      <c r="N188" s="21"/>
    </row>
    <row r="189" spans="1:14" x14ac:dyDescent="0.25">
      <c r="A189" s="20"/>
      <c r="B189" s="20"/>
      <c r="C189" s="20"/>
      <c r="D189" s="115"/>
      <c r="E189" s="115"/>
      <c r="F189" s="20"/>
      <c r="G189" s="21"/>
      <c r="H189" s="24" t="s">
        <v>1056</v>
      </c>
      <c r="I189" s="24"/>
      <c r="J189" s="21"/>
      <c r="L189" s="21"/>
      <c r="N189" s="21"/>
    </row>
    <row r="190" spans="1:14" x14ac:dyDescent="0.25">
      <c r="A190" s="20"/>
      <c r="B190" s="20"/>
      <c r="C190" s="20"/>
      <c r="D190" s="115"/>
      <c r="E190" s="115"/>
      <c r="F190" s="20"/>
      <c r="G190" s="21"/>
      <c r="H190" s="24" t="s">
        <v>1057</v>
      </c>
      <c r="I190" s="24"/>
      <c r="J190" s="21"/>
      <c r="L190" s="21"/>
      <c r="N190" s="21"/>
    </row>
    <row r="191" spans="1:14" x14ac:dyDescent="0.25">
      <c r="A191" s="20"/>
      <c r="B191" s="20"/>
      <c r="C191" s="20"/>
      <c r="D191" s="115"/>
      <c r="E191" s="115"/>
      <c r="F191" s="20"/>
      <c r="G191" s="21"/>
      <c r="H191" s="24" t="s">
        <v>303</v>
      </c>
      <c r="I191" s="24" t="s">
        <v>303</v>
      </c>
      <c r="J191" s="21"/>
      <c r="L191" s="21"/>
      <c r="N191" s="21"/>
    </row>
    <row r="192" spans="1:14" x14ac:dyDescent="0.25">
      <c r="A192" s="20"/>
      <c r="B192" s="20"/>
      <c r="C192" s="20"/>
      <c r="D192" s="115"/>
      <c r="E192" s="115"/>
      <c r="F192" s="20"/>
      <c r="G192" s="21"/>
      <c r="H192" s="24" t="s">
        <v>219</v>
      </c>
      <c r="I192" s="24" t="s">
        <v>219</v>
      </c>
      <c r="J192" s="21"/>
      <c r="L192" s="21"/>
      <c r="N192" s="21"/>
    </row>
    <row r="193" spans="1:14" x14ac:dyDescent="0.25">
      <c r="A193" s="20"/>
      <c r="B193" s="20"/>
      <c r="C193" s="20"/>
      <c r="D193" s="115"/>
      <c r="E193" s="115"/>
      <c r="F193" s="20"/>
      <c r="G193" s="21"/>
      <c r="H193" s="24" t="s">
        <v>1058</v>
      </c>
      <c r="I193" s="24" t="s">
        <v>219</v>
      </c>
      <c r="J193" s="21"/>
      <c r="L193" s="21"/>
      <c r="N193" s="21"/>
    </row>
    <row r="194" spans="1:14" x14ac:dyDescent="0.25">
      <c r="A194" s="20"/>
      <c r="B194" s="20"/>
      <c r="C194" s="20"/>
      <c r="D194" s="115"/>
      <c r="E194" s="115"/>
      <c r="F194" s="20"/>
      <c r="G194" s="21"/>
      <c r="H194" s="24" t="s">
        <v>1059</v>
      </c>
      <c r="I194" s="24"/>
      <c r="J194" s="21"/>
      <c r="L194" s="21"/>
      <c r="N194" s="21"/>
    </row>
    <row r="195" spans="1:14" x14ac:dyDescent="0.25">
      <c r="A195" s="20"/>
      <c r="B195" s="20"/>
      <c r="C195" s="20"/>
      <c r="D195" s="115"/>
      <c r="E195" s="115"/>
      <c r="F195" s="20"/>
      <c r="G195" s="21"/>
      <c r="H195" s="24" t="s">
        <v>1060</v>
      </c>
      <c r="I195" s="24"/>
      <c r="J195" s="21"/>
      <c r="L195" s="21"/>
      <c r="N195" s="21"/>
    </row>
    <row r="196" spans="1:14" x14ac:dyDescent="0.25">
      <c r="A196" s="20"/>
      <c r="B196" s="20"/>
      <c r="C196" s="20"/>
      <c r="D196" s="115"/>
      <c r="E196" s="115"/>
      <c r="F196" s="20"/>
      <c r="G196" s="21"/>
      <c r="H196" s="24" t="s">
        <v>1061</v>
      </c>
      <c r="I196" s="24" t="s">
        <v>1061</v>
      </c>
      <c r="J196" s="21"/>
      <c r="L196" s="21"/>
      <c r="N196" s="21"/>
    </row>
    <row r="197" spans="1:14" x14ac:dyDescent="0.25">
      <c r="A197" s="20"/>
      <c r="B197" s="20"/>
      <c r="C197" s="20"/>
      <c r="D197" s="115"/>
      <c r="E197" s="115"/>
      <c r="F197" s="20"/>
      <c r="G197" s="21"/>
      <c r="H197" s="24" t="s">
        <v>526</v>
      </c>
      <c r="I197" s="24" t="s">
        <v>526</v>
      </c>
      <c r="J197" s="21"/>
      <c r="L197" s="21"/>
      <c r="N197" s="21"/>
    </row>
    <row r="198" spans="1:14" x14ac:dyDescent="0.25">
      <c r="A198" s="20"/>
      <c r="B198" s="20"/>
      <c r="C198" s="20"/>
      <c r="D198" s="115"/>
      <c r="E198" s="115"/>
      <c r="F198" s="20"/>
      <c r="G198" s="21"/>
      <c r="H198" s="24" t="s">
        <v>1062</v>
      </c>
      <c r="I198" s="24"/>
      <c r="J198" s="21"/>
      <c r="L198" s="21"/>
      <c r="N198" s="21"/>
    </row>
    <row r="199" spans="1:14" x14ac:dyDescent="0.25">
      <c r="A199" s="20"/>
      <c r="B199" s="20"/>
      <c r="C199" s="20"/>
      <c r="D199" s="115"/>
      <c r="E199" s="115"/>
      <c r="F199" s="20"/>
      <c r="G199" s="21"/>
      <c r="H199" s="24" t="s">
        <v>1063</v>
      </c>
      <c r="I199" s="24"/>
      <c r="J199" s="21"/>
      <c r="L199" s="21"/>
      <c r="N199" s="21"/>
    </row>
    <row r="200" spans="1:14" x14ac:dyDescent="0.25">
      <c r="A200" s="20"/>
      <c r="B200" s="20"/>
      <c r="C200" s="20"/>
      <c r="D200" s="115"/>
      <c r="E200" s="115"/>
      <c r="F200" s="20"/>
      <c r="G200" s="21"/>
      <c r="H200" s="24" t="s">
        <v>1064</v>
      </c>
      <c r="I200" s="24"/>
      <c r="J200" s="21"/>
      <c r="L200" s="21"/>
      <c r="N200" s="21"/>
    </row>
    <row r="201" spans="1:14" x14ac:dyDescent="0.25">
      <c r="A201" s="20"/>
      <c r="B201" s="20"/>
      <c r="C201" s="20"/>
      <c r="D201" s="115"/>
      <c r="E201" s="115"/>
      <c r="F201" s="20"/>
      <c r="G201" s="21"/>
      <c r="H201" s="24" t="s">
        <v>537</v>
      </c>
      <c r="I201" s="24" t="s">
        <v>537</v>
      </c>
      <c r="J201" s="21"/>
      <c r="L201" s="21"/>
      <c r="N201" s="21"/>
    </row>
    <row r="202" spans="1:14" x14ac:dyDescent="0.25">
      <c r="A202" s="20"/>
      <c r="B202" s="20"/>
      <c r="C202" s="20"/>
      <c r="D202" s="115"/>
      <c r="E202" s="115"/>
      <c r="F202" s="20"/>
      <c r="G202" s="21"/>
      <c r="H202" s="24" t="s">
        <v>1065</v>
      </c>
      <c r="I202" s="24"/>
      <c r="J202" s="21"/>
      <c r="L202" s="21"/>
      <c r="N202" s="21"/>
    </row>
    <row r="203" spans="1:14" x14ac:dyDescent="0.25">
      <c r="A203" s="20"/>
      <c r="B203" s="20"/>
      <c r="C203" s="20"/>
      <c r="D203" s="115"/>
      <c r="E203" s="115"/>
      <c r="F203" s="20"/>
      <c r="G203" s="21"/>
      <c r="H203" s="24" t="s">
        <v>1066</v>
      </c>
      <c r="I203" s="24"/>
      <c r="J203" s="21"/>
      <c r="L203" s="21"/>
      <c r="N203" s="21"/>
    </row>
    <row r="204" spans="1:14" x14ac:dyDescent="0.25">
      <c r="A204" s="20"/>
      <c r="B204" s="20"/>
      <c r="C204" s="20"/>
      <c r="D204" s="115"/>
      <c r="E204" s="115"/>
      <c r="F204" s="20"/>
      <c r="G204" s="21"/>
      <c r="H204" s="24" t="s">
        <v>1067</v>
      </c>
      <c r="I204" s="24"/>
      <c r="J204" s="21"/>
      <c r="L204" s="21"/>
      <c r="N204" s="21"/>
    </row>
    <row r="205" spans="1:14" x14ac:dyDescent="0.25">
      <c r="A205" s="20"/>
      <c r="B205" s="20"/>
      <c r="C205" s="20"/>
      <c r="D205" s="115"/>
      <c r="E205" s="115"/>
      <c r="F205" s="20"/>
      <c r="G205" s="21"/>
      <c r="H205" s="24" t="s">
        <v>1068</v>
      </c>
      <c r="I205" s="24"/>
      <c r="J205" s="21"/>
      <c r="L205" s="21"/>
      <c r="N205" s="21"/>
    </row>
    <row r="206" spans="1:14" x14ac:dyDescent="0.25">
      <c r="A206" s="20"/>
      <c r="B206" s="20"/>
      <c r="C206" s="20"/>
      <c r="D206" s="115"/>
      <c r="E206" s="115"/>
      <c r="F206" s="20"/>
      <c r="G206" s="21"/>
      <c r="H206" s="24" t="s">
        <v>1069</v>
      </c>
      <c r="I206" s="24"/>
      <c r="J206" s="21"/>
      <c r="L206" s="21"/>
      <c r="N206" s="21"/>
    </row>
    <row r="207" spans="1:14" x14ac:dyDescent="0.25">
      <c r="A207" s="20"/>
      <c r="B207" s="20"/>
      <c r="C207" s="20"/>
      <c r="D207" s="115"/>
      <c r="E207" s="115"/>
      <c r="F207" s="20"/>
      <c r="G207" s="21"/>
      <c r="H207" s="24" t="s">
        <v>1070</v>
      </c>
      <c r="I207" s="24"/>
      <c r="J207" s="21"/>
      <c r="L207" s="21"/>
      <c r="N207" s="21"/>
    </row>
    <row r="208" spans="1:14" x14ac:dyDescent="0.25">
      <c r="A208" s="20"/>
      <c r="B208" s="20"/>
      <c r="C208" s="20"/>
      <c r="D208" s="115"/>
      <c r="E208" s="115"/>
      <c r="F208" s="20"/>
      <c r="G208" s="21"/>
      <c r="H208" s="24" t="s">
        <v>1071</v>
      </c>
      <c r="I208" s="24"/>
      <c r="J208" s="21"/>
      <c r="L208" s="21"/>
      <c r="N208" s="21"/>
    </row>
    <row r="209" spans="1:14" x14ac:dyDescent="0.25">
      <c r="A209" s="20"/>
      <c r="B209" s="20"/>
      <c r="C209" s="20"/>
      <c r="D209" s="115"/>
      <c r="E209" s="115"/>
      <c r="F209" s="20"/>
      <c r="G209" s="21"/>
      <c r="H209" s="24" t="s">
        <v>643</v>
      </c>
      <c r="I209" s="24"/>
      <c r="J209" s="21"/>
      <c r="L209" s="21"/>
      <c r="N209" s="21"/>
    </row>
    <row r="210" spans="1:14" x14ac:dyDescent="0.25">
      <c r="A210" s="20"/>
      <c r="B210" s="20"/>
      <c r="C210" s="20"/>
      <c r="D210" s="115"/>
      <c r="E210" s="115"/>
      <c r="F210" s="20"/>
      <c r="G210" s="21"/>
      <c r="H210" s="24" t="s">
        <v>1072</v>
      </c>
      <c r="I210" s="24"/>
      <c r="J210" s="21"/>
      <c r="L210" s="21"/>
      <c r="N210" s="21"/>
    </row>
    <row r="211" spans="1:14" x14ac:dyDescent="0.25">
      <c r="A211" s="20"/>
      <c r="B211" s="20"/>
      <c r="C211" s="20"/>
      <c r="D211" s="115"/>
      <c r="E211" s="115"/>
      <c r="F211" s="20"/>
      <c r="G211" s="21"/>
      <c r="H211" s="24" t="s">
        <v>1073</v>
      </c>
      <c r="I211" s="24"/>
      <c r="J211" s="21"/>
      <c r="L211" s="21"/>
      <c r="N211" s="21"/>
    </row>
    <row r="212" spans="1:14" x14ac:dyDescent="0.25">
      <c r="A212" s="20"/>
      <c r="B212" s="20"/>
      <c r="C212" s="20"/>
      <c r="D212" s="115"/>
      <c r="E212" s="115"/>
      <c r="F212" s="20"/>
      <c r="G212" s="21"/>
      <c r="H212" s="24" t="s">
        <v>1074</v>
      </c>
      <c r="I212" s="24"/>
      <c r="J212" s="21"/>
      <c r="L212" s="21"/>
      <c r="N212" s="21"/>
    </row>
    <row r="213" spans="1:14" x14ac:dyDescent="0.25">
      <c r="A213" s="20"/>
      <c r="B213" s="20"/>
      <c r="C213" s="20"/>
      <c r="D213" s="115"/>
      <c r="E213" s="115"/>
      <c r="F213" s="20"/>
      <c r="G213" s="21"/>
      <c r="H213" s="24" t="s">
        <v>1075</v>
      </c>
      <c r="I213" s="24"/>
      <c r="J213" s="21"/>
      <c r="L213" s="21"/>
      <c r="N213" s="21"/>
    </row>
    <row r="214" spans="1:14" x14ac:dyDescent="0.25">
      <c r="A214" s="20"/>
      <c r="B214" s="20"/>
      <c r="C214" s="20"/>
      <c r="D214" s="115"/>
      <c r="E214" s="115"/>
      <c r="F214" s="20"/>
      <c r="G214" s="21"/>
      <c r="H214" s="24" t="s">
        <v>1076</v>
      </c>
      <c r="I214" s="24"/>
      <c r="J214" s="21"/>
      <c r="L214" s="21"/>
      <c r="N214" s="21"/>
    </row>
    <row r="215" spans="1:14" x14ac:dyDescent="0.25">
      <c r="A215" s="20"/>
      <c r="B215" s="20"/>
      <c r="C215" s="20"/>
      <c r="D215" s="115"/>
      <c r="E215" s="115"/>
      <c r="F215" s="20"/>
      <c r="G215" s="21"/>
      <c r="H215" s="24" t="s">
        <v>1077</v>
      </c>
      <c r="I215" s="24"/>
      <c r="J215" s="21"/>
      <c r="L215" s="21"/>
      <c r="N215" s="21"/>
    </row>
    <row r="216" spans="1:14" x14ac:dyDescent="0.25">
      <c r="A216" s="20"/>
      <c r="B216" s="20"/>
      <c r="C216" s="20"/>
      <c r="D216" s="115"/>
      <c r="E216" s="115"/>
      <c r="F216" s="20"/>
      <c r="G216" s="21"/>
      <c r="H216" s="24" t="s">
        <v>1078</v>
      </c>
      <c r="I216" s="24"/>
      <c r="J216" s="21"/>
      <c r="L216" s="21"/>
      <c r="N216" s="21"/>
    </row>
    <row r="217" spans="1:14" x14ac:dyDescent="0.25">
      <c r="A217" s="20"/>
      <c r="B217" s="20"/>
      <c r="C217" s="20"/>
      <c r="D217" s="115"/>
      <c r="E217" s="115"/>
      <c r="F217" s="20"/>
      <c r="G217" s="21"/>
      <c r="H217" s="24" t="s">
        <v>239</v>
      </c>
      <c r="I217" s="24" t="s">
        <v>239</v>
      </c>
      <c r="J217" s="21"/>
      <c r="L217" s="21"/>
      <c r="N217" s="21"/>
    </row>
    <row r="218" spans="1:14" x14ac:dyDescent="0.25">
      <c r="A218" s="20"/>
      <c r="B218" s="20"/>
      <c r="C218" s="20"/>
      <c r="D218" s="115"/>
      <c r="E218" s="115"/>
      <c r="F218" s="20"/>
      <c r="G218" s="21"/>
      <c r="H218" s="24" t="s">
        <v>1079</v>
      </c>
      <c r="I218" s="24"/>
      <c r="J218" s="21"/>
      <c r="L218" s="21"/>
      <c r="N218" s="21"/>
    </row>
    <row r="219" spans="1:14" x14ac:dyDescent="0.25">
      <c r="A219" s="20"/>
      <c r="B219" s="20"/>
      <c r="C219" s="20"/>
      <c r="D219" s="115"/>
      <c r="E219" s="115"/>
      <c r="F219" s="20"/>
      <c r="G219" s="21"/>
      <c r="H219" s="24" t="s">
        <v>1080</v>
      </c>
      <c r="I219" s="24"/>
      <c r="J219" s="21"/>
      <c r="L219" s="21"/>
      <c r="N219" s="21"/>
    </row>
    <row r="220" spans="1:14" x14ac:dyDescent="0.25">
      <c r="A220" s="20"/>
      <c r="B220" s="20"/>
      <c r="C220" s="20"/>
      <c r="D220" s="115"/>
      <c r="E220" s="115"/>
      <c r="F220" s="20"/>
      <c r="G220" s="21"/>
      <c r="H220" s="24" t="s">
        <v>1081</v>
      </c>
      <c r="I220" s="24"/>
      <c r="J220" s="21"/>
      <c r="L220" s="21"/>
      <c r="N220" s="21"/>
    </row>
    <row r="221" spans="1:14" x14ac:dyDescent="0.25">
      <c r="A221" s="20"/>
      <c r="B221" s="20"/>
      <c r="C221" s="20"/>
      <c r="D221" s="115"/>
      <c r="E221" s="115"/>
      <c r="F221" s="20"/>
      <c r="G221" s="21"/>
      <c r="H221" s="24" t="s">
        <v>194</v>
      </c>
      <c r="I221" s="24" t="s">
        <v>194</v>
      </c>
      <c r="J221" s="21"/>
      <c r="L221" s="21"/>
      <c r="N221" s="21"/>
    </row>
    <row r="222" spans="1:14" x14ac:dyDescent="0.25">
      <c r="A222" s="20"/>
      <c r="B222" s="20"/>
      <c r="C222" s="20"/>
      <c r="D222" s="115"/>
      <c r="E222" s="115"/>
      <c r="F222" s="20"/>
      <c r="G222" s="21"/>
      <c r="H222" s="24" t="s">
        <v>636</v>
      </c>
      <c r="I222" s="24" t="s">
        <v>636</v>
      </c>
      <c r="J222" s="21"/>
      <c r="L222" s="21"/>
      <c r="N222" s="21"/>
    </row>
    <row r="223" spans="1:14" x14ac:dyDescent="0.25">
      <c r="A223" s="20"/>
      <c r="B223" s="20"/>
      <c r="C223" s="20"/>
      <c r="D223" s="115"/>
      <c r="E223" s="115"/>
      <c r="F223" s="20"/>
      <c r="G223" s="21"/>
      <c r="H223" s="24" t="s">
        <v>1082</v>
      </c>
      <c r="I223" s="24" t="s">
        <v>1082</v>
      </c>
      <c r="J223" s="21"/>
      <c r="L223" s="21"/>
      <c r="N223" s="21"/>
    </row>
    <row r="224" spans="1:14" x14ac:dyDescent="0.25">
      <c r="A224" s="20"/>
      <c r="B224" s="20"/>
      <c r="C224" s="20"/>
      <c r="D224" s="115"/>
      <c r="E224" s="115"/>
      <c r="F224" s="20"/>
      <c r="G224" s="21"/>
      <c r="H224" s="24" t="s">
        <v>1083</v>
      </c>
      <c r="I224" s="24" t="s">
        <v>1084</v>
      </c>
      <c r="J224" s="21"/>
      <c r="L224" s="21"/>
      <c r="N224" s="21"/>
    </row>
    <row r="225" spans="1:14" x14ac:dyDescent="0.25">
      <c r="A225" s="20"/>
      <c r="B225" s="20"/>
      <c r="C225" s="20"/>
      <c r="D225" s="115"/>
      <c r="E225" s="115"/>
      <c r="F225" s="20"/>
      <c r="G225" s="21"/>
      <c r="H225" s="24" t="s">
        <v>1085</v>
      </c>
      <c r="I225" s="24"/>
      <c r="J225" s="21"/>
      <c r="L225" s="21"/>
      <c r="N225" s="21"/>
    </row>
    <row r="226" spans="1:14" x14ac:dyDescent="0.25">
      <c r="A226" s="20"/>
      <c r="B226" s="20"/>
      <c r="C226" s="20"/>
      <c r="D226" s="115"/>
      <c r="E226" s="115"/>
      <c r="F226" s="20"/>
      <c r="G226" s="21"/>
      <c r="H226" s="24" t="s">
        <v>1086</v>
      </c>
      <c r="I226" s="24"/>
      <c r="J226" s="21"/>
      <c r="L226" s="21"/>
      <c r="N226" s="21"/>
    </row>
    <row r="227" spans="1:14" x14ac:dyDescent="0.25">
      <c r="A227" s="20"/>
      <c r="B227" s="20"/>
      <c r="C227" s="20"/>
      <c r="D227" s="115"/>
      <c r="E227" s="115"/>
      <c r="F227" s="20"/>
      <c r="G227" s="21"/>
      <c r="H227" s="24" t="s">
        <v>1087</v>
      </c>
      <c r="I227" s="24"/>
      <c r="J227" s="21"/>
      <c r="L227" s="21"/>
      <c r="N227" s="21"/>
    </row>
    <row r="228" spans="1:14" x14ac:dyDescent="0.25">
      <c r="A228" s="20"/>
      <c r="B228" s="20"/>
      <c r="C228" s="20"/>
      <c r="D228" s="115"/>
      <c r="E228" s="115"/>
      <c r="F228" s="20"/>
      <c r="G228" s="21"/>
      <c r="H228" s="24" t="s">
        <v>1088</v>
      </c>
      <c r="I228" s="24" t="s">
        <v>238</v>
      </c>
      <c r="J228" s="21"/>
      <c r="L228" s="21"/>
      <c r="N228" s="21"/>
    </row>
    <row r="229" spans="1:14" x14ac:dyDescent="0.25">
      <c r="A229" s="20"/>
      <c r="B229" s="20"/>
      <c r="C229" s="20"/>
      <c r="D229" s="115"/>
      <c r="E229" s="115"/>
      <c r="F229" s="20"/>
      <c r="G229" s="21"/>
      <c r="H229" s="24" t="s">
        <v>457</v>
      </c>
      <c r="I229" s="24" t="s">
        <v>457</v>
      </c>
      <c r="J229" s="21"/>
      <c r="L229" s="21"/>
      <c r="N229" s="21"/>
    </row>
    <row r="230" spans="1:14" x14ac:dyDescent="0.25">
      <c r="A230" s="20"/>
      <c r="B230" s="20"/>
      <c r="C230" s="20"/>
      <c r="D230" s="115"/>
      <c r="E230" s="115"/>
      <c r="F230" s="20"/>
      <c r="G230" s="21"/>
      <c r="H230" s="24" t="s">
        <v>1089</v>
      </c>
      <c r="I230" s="24"/>
      <c r="J230" s="21"/>
      <c r="L230" s="21"/>
      <c r="N230" s="21"/>
    </row>
    <row r="231" spans="1:14" x14ac:dyDescent="0.25">
      <c r="A231" s="20"/>
      <c r="B231" s="20"/>
      <c r="C231" s="20"/>
      <c r="D231" s="115"/>
      <c r="E231" s="115"/>
      <c r="F231" s="20"/>
      <c r="G231" s="21"/>
      <c r="H231" s="24" t="s">
        <v>460</v>
      </c>
      <c r="I231" s="24" t="s">
        <v>460</v>
      </c>
      <c r="J231" s="21"/>
      <c r="L231" s="21"/>
      <c r="N231" s="21"/>
    </row>
    <row r="232" spans="1:14" x14ac:dyDescent="0.25">
      <c r="A232" s="20"/>
      <c r="B232" s="20"/>
      <c r="C232" s="20"/>
      <c r="D232" s="115"/>
      <c r="E232" s="115"/>
      <c r="F232" s="20"/>
      <c r="G232" s="21"/>
      <c r="H232" s="24" t="s">
        <v>1090</v>
      </c>
      <c r="I232" s="24"/>
      <c r="J232" s="21"/>
      <c r="L232" s="21"/>
      <c r="N232" s="21"/>
    </row>
    <row r="233" spans="1:14" x14ac:dyDescent="0.25">
      <c r="A233" s="20"/>
      <c r="B233" s="20"/>
      <c r="C233" s="20"/>
      <c r="D233" s="115"/>
      <c r="E233" s="115"/>
      <c r="F233" s="20"/>
      <c r="G233" s="21"/>
      <c r="H233" s="24" t="s">
        <v>1091</v>
      </c>
      <c r="I233" s="24" t="s">
        <v>238</v>
      </c>
      <c r="J233" s="21"/>
      <c r="L233" s="21"/>
      <c r="N233" s="21"/>
    </row>
    <row r="234" spans="1:14" x14ac:dyDescent="0.25">
      <c r="A234" s="20"/>
      <c r="B234" s="20"/>
      <c r="C234" s="20"/>
      <c r="D234" s="115"/>
      <c r="E234" s="115"/>
      <c r="F234" s="20"/>
      <c r="G234" s="21"/>
      <c r="H234" s="24" t="s">
        <v>227</v>
      </c>
      <c r="I234" s="24" t="s">
        <v>227</v>
      </c>
      <c r="J234" s="21"/>
      <c r="L234" s="21"/>
      <c r="N234" s="21"/>
    </row>
    <row r="235" spans="1:14" x14ac:dyDescent="0.25">
      <c r="A235" s="20"/>
      <c r="B235" s="20"/>
      <c r="C235" s="20"/>
      <c r="D235" s="115"/>
      <c r="E235" s="115"/>
      <c r="F235" s="20"/>
      <c r="G235" s="21"/>
      <c r="H235" s="24" t="s">
        <v>1092</v>
      </c>
      <c r="I235" s="24"/>
      <c r="J235" s="21"/>
      <c r="L235" s="21"/>
      <c r="N235" s="21"/>
    </row>
    <row r="236" spans="1:14" x14ac:dyDescent="0.25">
      <c r="A236" s="20"/>
      <c r="B236" s="20"/>
      <c r="C236" s="20"/>
      <c r="D236" s="115"/>
      <c r="E236" s="115"/>
      <c r="F236" s="20"/>
      <c r="G236" s="21"/>
      <c r="H236" s="24" t="s">
        <v>1093</v>
      </c>
      <c r="I236" s="24"/>
      <c r="J236" s="21"/>
      <c r="L236" s="21"/>
      <c r="N236" s="21"/>
    </row>
    <row r="237" spans="1:14" x14ac:dyDescent="0.25">
      <c r="A237" s="20"/>
      <c r="B237" s="20"/>
      <c r="C237" s="20"/>
      <c r="D237" s="115"/>
      <c r="E237" s="115"/>
      <c r="F237" s="20"/>
      <c r="G237" s="21"/>
      <c r="H237" s="24" t="s">
        <v>282</v>
      </c>
      <c r="I237" s="24" t="s">
        <v>282</v>
      </c>
      <c r="J237" s="21"/>
      <c r="L237" s="21"/>
      <c r="N237" s="21"/>
    </row>
    <row r="238" spans="1:14" x14ac:dyDescent="0.25">
      <c r="A238" s="20"/>
      <c r="B238" s="20"/>
      <c r="C238" s="20"/>
      <c r="D238" s="115"/>
      <c r="E238" s="115"/>
      <c r="F238" s="20"/>
      <c r="G238" s="21"/>
      <c r="H238" s="24" t="s">
        <v>1094</v>
      </c>
      <c r="I238" s="24"/>
      <c r="J238" s="21"/>
      <c r="L238" s="21"/>
      <c r="N238" s="21"/>
    </row>
    <row r="239" spans="1:14" x14ac:dyDescent="0.25">
      <c r="A239" s="20"/>
      <c r="B239" s="20"/>
      <c r="C239" s="20"/>
      <c r="D239" s="115"/>
      <c r="E239" s="115"/>
      <c r="F239" s="20"/>
      <c r="G239" s="21"/>
      <c r="H239" s="24" t="s">
        <v>522</v>
      </c>
      <c r="I239" s="24" t="s">
        <v>522</v>
      </c>
      <c r="J239" s="21"/>
      <c r="L239" s="21"/>
      <c r="N239" s="21"/>
    </row>
    <row r="240" spans="1:14" x14ac:dyDescent="0.25">
      <c r="A240" s="20"/>
      <c r="B240" s="20"/>
      <c r="C240" s="20"/>
      <c r="D240" s="115"/>
      <c r="E240" s="115"/>
      <c r="F240" s="20"/>
      <c r="G240" s="21"/>
      <c r="H240" s="24" t="s">
        <v>1084</v>
      </c>
      <c r="I240" s="24" t="s">
        <v>1084</v>
      </c>
      <c r="J240" s="21"/>
      <c r="L240" s="21"/>
      <c r="N240" s="21"/>
    </row>
    <row r="241" spans="1:14" x14ac:dyDescent="0.25">
      <c r="A241" s="20"/>
      <c r="B241" s="20"/>
      <c r="C241" s="20"/>
      <c r="D241" s="115"/>
      <c r="E241" s="115"/>
      <c r="F241" s="20"/>
      <c r="G241" s="21"/>
      <c r="H241" s="24" t="s">
        <v>1095</v>
      </c>
      <c r="I241" s="24"/>
      <c r="J241" s="21"/>
      <c r="L241" s="21"/>
      <c r="N241" s="21"/>
    </row>
    <row r="242" spans="1:14" x14ac:dyDescent="0.25">
      <c r="A242" s="20"/>
      <c r="B242" s="20"/>
      <c r="C242" s="20"/>
      <c r="D242" s="115"/>
      <c r="E242" s="115"/>
      <c r="F242" s="20"/>
      <c r="G242" s="21"/>
      <c r="H242" s="24" t="s">
        <v>1096</v>
      </c>
      <c r="I242" s="24"/>
      <c r="J242" s="21"/>
      <c r="L242" s="21"/>
      <c r="N242" s="21"/>
    </row>
    <row r="243" spans="1:14" x14ac:dyDescent="0.25">
      <c r="A243" s="20"/>
      <c r="B243" s="20"/>
      <c r="C243" s="20"/>
      <c r="D243" s="115"/>
      <c r="E243" s="115"/>
      <c r="F243" s="20"/>
      <c r="G243" s="21"/>
      <c r="H243" s="24" t="s">
        <v>1097</v>
      </c>
      <c r="I243" s="24"/>
      <c r="J243" s="21"/>
      <c r="L243" s="21"/>
      <c r="N243" s="21"/>
    </row>
    <row r="244" spans="1:14" x14ac:dyDescent="0.25">
      <c r="A244" s="20"/>
      <c r="B244" s="20"/>
      <c r="C244" s="20"/>
      <c r="D244" s="115"/>
      <c r="E244" s="115"/>
      <c r="F244" s="20"/>
      <c r="G244" s="21"/>
      <c r="H244" s="24" t="s">
        <v>1098</v>
      </c>
      <c r="I244" s="24"/>
      <c r="J244" s="21"/>
      <c r="L244" s="21"/>
      <c r="N244" s="21"/>
    </row>
    <row r="245" spans="1:14" x14ac:dyDescent="0.25">
      <c r="A245" s="20"/>
      <c r="B245" s="20"/>
      <c r="C245" s="20"/>
      <c r="D245" s="115"/>
      <c r="E245" s="115"/>
      <c r="F245" s="20"/>
      <c r="G245" s="21"/>
      <c r="H245" s="24" t="s">
        <v>426</v>
      </c>
      <c r="I245" s="24" t="s">
        <v>426</v>
      </c>
      <c r="J245" s="21"/>
      <c r="L245" s="21"/>
      <c r="N245" s="21"/>
    </row>
    <row r="246" spans="1:14" x14ac:dyDescent="0.25">
      <c r="A246" s="20"/>
      <c r="B246" s="20"/>
      <c r="C246" s="20"/>
      <c r="D246" s="115"/>
      <c r="E246" s="115"/>
      <c r="F246" s="20"/>
      <c r="G246" s="21"/>
      <c r="H246" s="24" t="s">
        <v>1099</v>
      </c>
      <c r="I246" s="24" t="s">
        <v>1099</v>
      </c>
      <c r="J246" s="21"/>
      <c r="L246" s="21"/>
      <c r="N246" s="21"/>
    </row>
    <row r="247" spans="1:14" x14ac:dyDescent="0.25">
      <c r="A247" s="20"/>
      <c r="B247" s="20"/>
      <c r="C247" s="20"/>
      <c r="D247" s="115"/>
      <c r="E247" s="115"/>
      <c r="F247" s="20"/>
      <c r="G247" s="21"/>
      <c r="H247" s="24" t="s">
        <v>233</v>
      </c>
      <c r="I247" s="24" t="s">
        <v>233</v>
      </c>
      <c r="J247" s="21"/>
      <c r="L247" s="21"/>
      <c r="N247" s="21"/>
    </row>
    <row r="248" spans="1:14" x14ac:dyDescent="0.25">
      <c r="A248" s="20"/>
      <c r="B248" s="20"/>
      <c r="C248" s="20"/>
      <c r="D248" s="115"/>
      <c r="E248" s="115"/>
      <c r="F248" s="20"/>
      <c r="G248" s="21"/>
      <c r="H248" s="24" t="s">
        <v>1100</v>
      </c>
      <c r="I248" s="24" t="s">
        <v>233</v>
      </c>
      <c r="J248" s="21"/>
      <c r="L248" s="21"/>
      <c r="N248" s="21"/>
    </row>
    <row r="249" spans="1:14" x14ac:dyDescent="0.25">
      <c r="A249" s="20"/>
      <c r="B249" s="20"/>
      <c r="C249" s="20"/>
      <c r="D249" s="115"/>
      <c r="E249" s="115"/>
      <c r="F249" s="20"/>
      <c r="G249" s="21"/>
      <c r="H249" s="24" t="s">
        <v>1101</v>
      </c>
      <c r="I249" s="24"/>
      <c r="J249" s="21"/>
      <c r="L249" s="21"/>
      <c r="N249" s="21"/>
    </row>
    <row r="250" spans="1:14" x14ac:dyDescent="0.25">
      <c r="A250" s="20"/>
      <c r="B250" s="20"/>
      <c r="C250" s="20"/>
      <c r="D250" s="115"/>
      <c r="E250" s="115"/>
      <c r="F250" s="20"/>
      <c r="G250" s="21"/>
      <c r="H250" s="24" t="s">
        <v>1102</v>
      </c>
      <c r="I250" s="24"/>
      <c r="J250" s="21"/>
      <c r="L250" s="21"/>
      <c r="N250" s="21"/>
    </row>
    <row r="251" spans="1:14" x14ac:dyDescent="0.25">
      <c r="A251" s="20"/>
      <c r="B251" s="20"/>
      <c r="C251" s="20"/>
      <c r="D251" s="115"/>
      <c r="E251" s="115"/>
      <c r="F251" s="20"/>
      <c r="G251" s="21"/>
      <c r="H251" s="24" t="s">
        <v>1103</v>
      </c>
      <c r="I251" s="24"/>
      <c r="J251" s="21"/>
      <c r="L251" s="21"/>
      <c r="N251" s="21"/>
    </row>
    <row r="252" spans="1:14" x14ac:dyDescent="0.25">
      <c r="A252" s="20"/>
      <c r="B252" s="20"/>
      <c r="C252" s="20"/>
      <c r="D252" s="115"/>
      <c r="E252" s="115"/>
      <c r="F252" s="20"/>
      <c r="G252" s="21"/>
      <c r="H252" s="24" t="s">
        <v>1104</v>
      </c>
      <c r="I252" s="24"/>
      <c r="J252" s="21"/>
      <c r="L252" s="21"/>
      <c r="N252" s="21"/>
    </row>
    <row r="253" spans="1:14" x14ac:dyDescent="0.25">
      <c r="A253" s="20"/>
      <c r="B253" s="20"/>
      <c r="C253" s="20"/>
      <c r="D253" s="115"/>
      <c r="E253" s="115"/>
      <c r="F253" s="20"/>
      <c r="G253" s="21"/>
      <c r="H253" s="24" t="s">
        <v>1105</v>
      </c>
      <c r="I253" s="24" t="s">
        <v>1105</v>
      </c>
      <c r="J253" s="21"/>
      <c r="L253" s="21"/>
      <c r="N253" s="21"/>
    </row>
    <row r="254" spans="1:14" x14ac:dyDescent="0.25">
      <c r="A254" s="20"/>
      <c r="B254" s="20"/>
      <c r="C254" s="20"/>
      <c r="D254" s="115"/>
      <c r="E254" s="115"/>
      <c r="F254" s="20"/>
      <c r="G254" s="21"/>
      <c r="H254" s="24" t="s">
        <v>1106</v>
      </c>
      <c r="I254" s="24"/>
      <c r="J254" s="21"/>
      <c r="L254" s="21"/>
      <c r="N254" s="21"/>
    </row>
    <row r="255" spans="1:14" x14ac:dyDescent="0.25">
      <c r="A255" s="20"/>
      <c r="B255" s="20"/>
      <c r="C255" s="20"/>
      <c r="D255" s="115"/>
      <c r="E255" s="115"/>
      <c r="F255" s="20"/>
      <c r="G255" s="21"/>
      <c r="H255" s="24" t="s">
        <v>1107</v>
      </c>
      <c r="I255" s="24"/>
      <c r="J255" s="21"/>
      <c r="L255" s="21"/>
      <c r="N255" s="21"/>
    </row>
    <row r="256" spans="1:14" x14ac:dyDescent="0.25">
      <c r="A256" s="20"/>
      <c r="B256" s="20"/>
      <c r="C256" s="20"/>
      <c r="D256" s="115"/>
      <c r="E256" s="115"/>
      <c r="F256" s="20"/>
      <c r="G256" s="21"/>
      <c r="H256" s="24" t="s">
        <v>317</v>
      </c>
      <c r="I256" s="24" t="s">
        <v>317</v>
      </c>
      <c r="J256" s="21"/>
      <c r="L256" s="21"/>
      <c r="N256" s="21"/>
    </row>
    <row r="257" spans="1:14" x14ac:dyDescent="0.25">
      <c r="A257" s="20"/>
      <c r="B257" s="20"/>
      <c r="C257" s="20"/>
      <c r="D257" s="115"/>
      <c r="E257" s="115"/>
      <c r="F257" s="20"/>
      <c r="G257" s="21"/>
      <c r="H257" s="24" t="s">
        <v>1108</v>
      </c>
      <c r="I257" s="24"/>
      <c r="J257" s="21"/>
      <c r="L257" s="21"/>
      <c r="N257" s="21"/>
    </row>
    <row r="258" spans="1:14" x14ac:dyDescent="0.25">
      <c r="A258" s="20"/>
      <c r="B258" s="20"/>
      <c r="C258" s="20"/>
      <c r="D258" s="115"/>
      <c r="E258" s="115"/>
      <c r="F258" s="20"/>
      <c r="G258" s="21"/>
      <c r="H258" s="24" t="s">
        <v>1109</v>
      </c>
      <c r="I258" s="24"/>
      <c r="J258" s="21"/>
      <c r="L258" s="21"/>
      <c r="N258" s="21"/>
    </row>
    <row r="259" spans="1:14" x14ac:dyDescent="0.25">
      <c r="A259" s="20"/>
      <c r="B259" s="20"/>
      <c r="C259" s="20"/>
      <c r="D259" s="115"/>
      <c r="E259" s="115"/>
      <c r="F259" s="20"/>
      <c r="G259" s="21"/>
      <c r="H259" s="24" t="s">
        <v>1110</v>
      </c>
      <c r="I259" s="24"/>
      <c r="J259" s="21"/>
      <c r="L259" s="21"/>
      <c r="N259" s="21"/>
    </row>
    <row r="260" spans="1:14" x14ac:dyDescent="0.25">
      <c r="A260" s="20"/>
      <c r="B260" s="20"/>
      <c r="C260" s="20"/>
      <c r="D260" s="115"/>
      <c r="E260" s="115"/>
      <c r="F260" s="20"/>
      <c r="G260" s="21"/>
      <c r="H260" s="24" t="s">
        <v>209</v>
      </c>
      <c r="I260" s="24" t="s">
        <v>209</v>
      </c>
      <c r="J260" s="21"/>
      <c r="L260" s="21"/>
      <c r="N260" s="21"/>
    </row>
    <row r="261" spans="1:14" x14ac:dyDescent="0.25">
      <c r="A261" s="20"/>
      <c r="B261" s="20"/>
      <c r="C261" s="20"/>
      <c r="D261" s="115"/>
      <c r="E261" s="115"/>
      <c r="F261" s="20"/>
      <c r="G261" s="21"/>
      <c r="H261" s="24" t="s">
        <v>1111</v>
      </c>
      <c r="I261" s="24" t="s">
        <v>656</v>
      </c>
      <c r="J261" s="21"/>
      <c r="L261" s="21"/>
      <c r="N261" s="21"/>
    </row>
    <row r="262" spans="1:14" x14ac:dyDescent="0.25">
      <c r="A262" s="20"/>
      <c r="B262" s="20"/>
      <c r="C262" s="20"/>
      <c r="D262" s="115"/>
      <c r="E262" s="115"/>
      <c r="F262" s="20"/>
      <c r="G262" s="21"/>
      <c r="H262" s="24" t="s">
        <v>1112</v>
      </c>
      <c r="I262" s="24"/>
      <c r="J262" s="21"/>
      <c r="L262" s="21"/>
      <c r="N262" s="21"/>
    </row>
    <row r="263" spans="1:14" x14ac:dyDescent="0.25">
      <c r="A263" s="20"/>
      <c r="B263" s="20"/>
      <c r="C263" s="20"/>
      <c r="D263" s="115"/>
      <c r="E263" s="115"/>
      <c r="F263" s="20"/>
      <c r="G263" s="21"/>
      <c r="H263" s="24" t="s">
        <v>1113</v>
      </c>
      <c r="I263" s="24"/>
      <c r="J263" s="21"/>
      <c r="L263" s="21"/>
      <c r="N263" s="21"/>
    </row>
    <row r="264" spans="1:14" x14ac:dyDescent="0.25">
      <c r="A264" s="20"/>
      <c r="B264" s="20"/>
      <c r="C264" s="20"/>
      <c r="D264" s="115"/>
      <c r="E264" s="115"/>
      <c r="F264" s="20"/>
      <c r="G264" s="21"/>
      <c r="H264" s="24" t="s">
        <v>1114</v>
      </c>
      <c r="I264" s="24"/>
      <c r="J264" s="21"/>
      <c r="L264" s="21"/>
      <c r="N264" s="21"/>
    </row>
    <row r="265" spans="1:14" x14ac:dyDescent="0.25">
      <c r="A265" s="20"/>
      <c r="B265" s="20"/>
      <c r="C265" s="20"/>
      <c r="D265" s="115"/>
      <c r="E265" s="115"/>
      <c r="F265" s="20"/>
      <c r="G265" s="21"/>
      <c r="H265" s="24" t="s">
        <v>1115</v>
      </c>
      <c r="I265" s="24"/>
      <c r="J265" s="21"/>
      <c r="L265" s="21"/>
      <c r="N265" s="21"/>
    </row>
    <row r="266" spans="1:14" x14ac:dyDescent="0.25">
      <c r="A266" s="20"/>
      <c r="B266" s="20"/>
      <c r="C266" s="20"/>
      <c r="D266" s="115"/>
      <c r="E266" s="115"/>
      <c r="F266" s="20"/>
      <c r="G266" s="21"/>
      <c r="H266" s="24" t="s">
        <v>656</v>
      </c>
      <c r="I266" s="24" t="s">
        <v>656</v>
      </c>
      <c r="J266" s="21"/>
      <c r="L266" s="21"/>
      <c r="N266" s="21"/>
    </row>
    <row r="267" spans="1:14" x14ac:dyDescent="0.25">
      <c r="A267" s="20"/>
      <c r="B267" s="20"/>
      <c r="C267" s="20"/>
      <c r="D267" s="115"/>
      <c r="E267" s="115"/>
      <c r="F267" s="20"/>
      <c r="G267" s="21"/>
      <c r="H267" s="24" t="s">
        <v>716</v>
      </c>
      <c r="I267" s="24"/>
      <c r="J267" s="21"/>
      <c r="L267" s="21"/>
      <c r="N267" s="21"/>
    </row>
    <row r="268" spans="1:14" x14ac:dyDescent="0.25">
      <c r="A268" s="20"/>
      <c r="B268" s="20"/>
      <c r="C268" s="20"/>
      <c r="D268" s="115"/>
      <c r="E268" s="115"/>
      <c r="F268" s="20"/>
      <c r="G268" s="21"/>
      <c r="H268" s="24" t="s">
        <v>1116</v>
      </c>
      <c r="I268" s="24"/>
      <c r="J268" s="21"/>
      <c r="L268" s="21"/>
      <c r="N268" s="21"/>
    </row>
    <row r="269" spans="1:14" x14ac:dyDescent="0.25">
      <c r="A269" s="20"/>
      <c r="B269" s="20"/>
      <c r="C269" s="20"/>
      <c r="D269" s="115"/>
      <c r="E269" s="115"/>
      <c r="F269" s="20"/>
      <c r="G269" s="21"/>
      <c r="H269" s="24" t="s">
        <v>1117</v>
      </c>
      <c r="I269" s="24"/>
      <c r="J269" s="21"/>
      <c r="L269" s="21"/>
      <c r="N269" s="21"/>
    </row>
    <row r="270" spans="1:14" x14ac:dyDescent="0.25">
      <c r="A270" s="20"/>
      <c r="B270" s="20"/>
      <c r="C270" s="20"/>
      <c r="D270" s="115"/>
      <c r="E270" s="115"/>
      <c r="F270" s="20"/>
      <c r="G270" s="21"/>
      <c r="H270" s="24" t="s">
        <v>1118</v>
      </c>
      <c r="I270" s="24"/>
      <c r="J270" s="21"/>
      <c r="L270" s="21"/>
      <c r="N270" s="21"/>
    </row>
    <row r="271" spans="1:14" x14ac:dyDescent="0.25">
      <c r="A271" s="20"/>
      <c r="B271" s="20"/>
      <c r="C271" s="20"/>
      <c r="D271" s="115"/>
      <c r="E271" s="115"/>
      <c r="F271" s="20"/>
      <c r="G271" s="21"/>
      <c r="H271" s="24" t="s">
        <v>1119</v>
      </c>
      <c r="I271" s="24"/>
      <c r="J271" s="21"/>
      <c r="L271" s="21"/>
      <c r="N271" s="21"/>
    </row>
    <row r="272" spans="1:14" x14ac:dyDescent="0.25">
      <c r="A272" s="20"/>
      <c r="B272" s="20"/>
      <c r="C272" s="20"/>
      <c r="D272" s="115"/>
      <c r="E272" s="115"/>
      <c r="F272" s="20"/>
      <c r="G272" s="21"/>
      <c r="H272" s="24" t="s">
        <v>1120</v>
      </c>
      <c r="I272" s="24"/>
      <c r="J272" s="21"/>
      <c r="L272" s="21"/>
      <c r="N272" s="21"/>
    </row>
    <row r="273" spans="1:14" x14ac:dyDescent="0.25">
      <c r="A273" s="20"/>
      <c r="B273" s="20"/>
      <c r="C273" s="20"/>
      <c r="D273" s="115"/>
      <c r="E273" s="115"/>
      <c r="F273" s="20"/>
      <c r="G273" s="21"/>
      <c r="H273" s="24" t="s">
        <v>224</v>
      </c>
      <c r="I273" s="24" t="s">
        <v>224</v>
      </c>
      <c r="J273" s="21"/>
      <c r="L273" s="21"/>
      <c r="N273" s="21"/>
    </row>
    <row r="274" spans="1:14" x14ac:dyDescent="0.25">
      <c r="A274" s="20"/>
      <c r="B274" s="20"/>
      <c r="C274" s="20"/>
      <c r="D274" s="115"/>
      <c r="E274" s="115"/>
      <c r="F274" s="20"/>
      <c r="G274" s="21"/>
      <c r="H274" s="24" t="s">
        <v>613</v>
      </c>
      <c r="I274" s="24" t="s">
        <v>613</v>
      </c>
      <c r="J274" s="21"/>
      <c r="L274" s="21"/>
      <c r="N274" s="21"/>
    </row>
    <row r="275" spans="1:14" x14ac:dyDescent="0.25">
      <c r="A275" s="20"/>
      <c r="B275" s="20"/>
      <c r="C275" s="20"/>
      <c r="D275" s="115"/>
      <c r="E275" s="115"/>
      <c r="F275" s="20"/>
      <c r="G275" s="21"/>
      <c r="H275" s="24" t="s">
        <v>1121</v>
      </c>
      <c r="I275" s="24"/>
      <c r="J275" s="21"/>
      <c r="L275" s="21"/>
      <c r="N275" s="21"/>
    </row>
    <row r="276" spans="1:14" x14ac:dyDescent="0.25">
      <c r="A276" s="20"/>
      <c r="B276" s="20"/>
      <c r="C276" s="20"/>
      <c r="D276" s="115"/>
      <c r="E276" s="115"/>
      <c r="F276" s="20"/>
      <c r="G276" s="21"/>
      <c r="H276" s="24" t="s">
        <v>1122</v>
      </c>
      <c r="I276" s="24"/>
      <c r="J276" s="21"/>
      <c r="L276" s="21"/>
      <c r="N276" s="21"/>
    </row>
    <row r="277" spans="1:14" x14ac:dyDescent="0.25">
      <c r="A277" s="20"/>
      <c r="B277" s="20"/>
      <c r="C277" s="20"/>
      <c r="D277" s="115"/>
      <c r="E277" s="115"/>
      <c r="F277" s="20"/>
      <c r="G277" s="21"/>
      <c r="H277" s="24" t="s">
        <v>1123</v>
      </c>
      <c r="I277" s="24"/>
      <c r="J277" s="21"/>
      <c r="L277" s="21"/>
      <c r="N277" s="21"/>
    </row>
    <row r="278" spans="1:14" x14ac:dyDescent="0.25">
      <c r="A278" s="20"/>
      <c r="B278" s="20"/>
      <c r="C278" s="20"/>
      <c r="D278" s="115"/>
      <c r="E278" s="115"/>
      <c r="F278" s="20"/>
      <c r="G278" s="21"/>
      <c r="H278" s="24" t="s">
        <v>1124</v>
      </c>
      <c r="I278" s="24"/>
      <c r="J278" s="21"/>
      <c r="L278" s="21"/>
      <c r="N278" s="21"/>
    </row>
    <row r="279" spans="1:14" x14ac:dyDescent="0.25">
      <c r="A279" s="20"/>
      <c r="B279" s="20"/>
      <c r="C279" s="20"/>
      <c r="D279" s="115"/>
      <c r="E279" s="115"/>
      <c r="F279" s="20"/>
      <c r="G279" s="21"/>
      <c r="H279" s="24" t="s">
        <v>228</v>
      </c>
      <c r="I279" s="24" t="s">
        <v>228</v>
      </c>
      <c r="J279" s="21"/>
      <c r="L279" s="21"/>
      <c r="N279" s="21"/>
    </row>
    <row r="280" spans="1:14" x14ac:dyDescent="0.25">
      <c r="A280" s="20"/>
      <c r="B280" s="20"/>
      <c r="C280" s="20"/>
      <c r="D280" s="115"/>
      <c r="E280" s="115"/>
      <c r="F280" s="20"/>
      <c r="G280" s="21"/>
      <c r="H280" s="24" t="s">
        <v>1125</v>
      </c>
      <c r="I280" s="24"/>
      <c r="J280" s="21"/>
      <c r="L280" s="21"/>
      <c r="N280" s="21"/>
    </row>
    <row r="281" spans="1:14" x14ac:dyDescent="0.25">
      <c r="A281" s="20"/>
      <c r="B281" s="20"/>
      <c r="C281" s="20"/>
      <c r="D281" s="115"/>
      <c r="E281" s="115"/>
      <c r="F281" s="20"/>
      <c r="G281" s="21"/>
      <c r="H281" s="24" t="s">
        <v>1126</v>
      </c>
      <c r="I281" s="24"/>
      <c r="J281" s="21"/>
      <c r="L281" s="21"/>
      <c r="N281" s="21"/>
    </row>
    <row r="282" spans="1:14" x14ac:dyDescent="0.25">
      <c r="A282" s="20"/>
      <c r="B282" s="20"/>
      <c r="C282" s="20"/>
      <c r="D282" s="115"/>
      <c r="E282" s="115"/>
      <c r="F282" s="20"/>
      <c r="G282" s="21"/>
      <c r="H282" s="24" t="s">
        <v>242</v>
      </c>
      <c r="I282" s="24" t="s">
        <v>242</v>
      </c>
      <c r="J282" s="21"/>
      <c r="L282" s="21"/>
      <c r="N282" s="21"/>
    </row>
    <row r="283" spans="1:14" x14ac:dyDescent="0.25">
      <c r="A283" s="20"/>
      <c r="B283" s="20"/>
      <c r="C283" s="20"/>
      <c r="D283" s="115"/>
      <c r="E283" s="115"/>
      <c r="F283" s="20"/>
      <c r="G283" s="21"/>
      <c r="H283" s="24" t="s">
        <v>1127</v>
      </c>
      <c r="I283" s="24"/>
      <c r="J283" s="21"/>
      <c r="L283" s="21"/>
      <c r="N283" s="21"/>
    </row>
    <row r="284" spans="1:14" x14ac:dyDescent="0.25">
      <c r="A284" s="20"/>
      <c r="B284" s="20"/>
      <c r="C284" s="20"/>
      <c r="D284" s="115"/>
      <c r="E284" s="115"/>
      <c r="F284" s="20"/>
      <c r="G284" s="21"/>
      <c r="H284" s="24" t="s">
        <v>1128</v>
      </c>
      <c r="I284" s="24"/>
      <c r="J284" s="21"/>
      <c r="L284" s="21"/>
      <c r="N284" s="21"/>
    </row>
    <row r="285" spans="1:14" x14ac:dyDescent="0.25">
      <c r="A285" s="20"/>
      <c r="B285" s="20"/>
      <c r="C285" s="20"/>
      <c r="D285" s="115"/>
      <c r="E285" s="115"/>
      <c r="F285" s="20"/>
      <c r="G285" s="21"/>
      <c r="H285" s="24" t="s">
        <v>1129</v>
      </c>
      <c r="I285" s="24" t="s">
        <v>1130</v>
      </c>
      <c r="J285" s="21"/>
      <c r="L285" s="21"/>
      <c r="N285" s="21"/>
    </row>
    <row r="286" spans="1:14" x14ac:dyDescent="0.25">
      <c r="A286" s="20"/>
      <c r="B286" s="20"/>
      <c r="C286" s="20"/>
      <c r="D286" s="115"/>
      <c r="E286" s="115"/>
      <c r="F286" s="20"/>
      <c r="G286" s="21"/>
      <c r="H286" s="24" t="s">
        <v>1131</v>
      </c>
      <c r="I286" s="24"/>
      <c r="J286" s="21"/>
      <c r="L286" s="21"/>
      <c r="N286" s="21"/>
    </row>
    <row r="287" spans="1:14" x14ac:dyDescent="0.25">
      <c r="A287" s="20"/>
      <c r="B287" s="20"/>
      <c r="C287" s="20"/>
      <c r="D287" s="115"/>
      <c r="E287" s="115"/>
      <c r="F287" s="20"/>
      <c r="G287" s="21"/>
      <c r="H287" s="24" t="s">
        <v>487</v>
      </c>
      <c r="I287" s="24" t="s">
        <v>487</v>
      </c>
      <c r="J287" s="21"/>
      <c r="L287" s="21"/>
      <c r="N287" s="21"/>
    </row>
    <row r="288" spans="1:14" x14ac:dyDescent="0.25">
      <c r="A288" s="20"/>
      <c r="B288" s="20"/>
      <c r="C288" s="20"/>
      <c r="D288" s="115"/>
      <c r="E288" s="115"/>
      <c r="F288" s="20"/>
      <c r="G288" s="21"/>
      <c r="H288" s="24" t="s">
        <v>1132</v>
      </c>
      <c r="I288" s="24"/>
      <c r="J288" s="21"/>
      <c r="L288" s="21"/>
      <c r="N288" s="21"/>
    </row>
    <row r="289" spans="1:14" x14ac:dyDescent="0.25">
      <c r="A289" s="20"/>
      <c r="B289" s="20"/>
      <c r="C289" s="20"/>
      <c r="D289" s="115"/>
      <c r="E289" s="115"/>
      <c r="F289" s="20"/>
      <c r="G289" s="21"/>
      <c r="H289" s="24" t="s">
        <v>1133</v>
      </c>
      <c r="I289" s="24"/>
      <c r="J289" s="21"/>
      <c r="L289" s="21"/>
      <c r="N289" s="21"/>
    </row>
    <row r="290" spans="1:14" x14ac:dyDescent="0.25">
      <c r="A290" s="20"/>
      <c r="B290" s="20"/>
      <c r="C290" s="20"/>
      <c r="D290" s="115"/>
      <c r="E290" s="115"/>
      <c r="F290" s="20"/>
      <c r="G290" s="21"/>
      <c r="H290" s="24" t="s">
        <v>571</v>
      </c>
      <c r="I290" s="24" t="s">
        <v>571</v>
      </c>
      <c r="J290" s="21"/>
      <c r="L290" s="21"/>
      <c r="N290" s="21"/>
    </row>
    <row r="291" spans="1:14" x14ac:dyDescent="0.25">
      <c r="A291" s="20"/>
      <c r="B291" s="20"/>
      <c r="C291" s="20"/>
      <c r="D291" s="115"/>
      <c r="E291" s="115"/>
      <c r="F291" s="20"/>
      <c r="G291" s="21"/>
      <c r="H291" s="24" t="s">
        <v>1134</v>
      </c>
      <c r="I291" s="24"/>
      <c r="J291" s="21"/>
      <c r="L291" s="21"/>
      <c r="N291" s="21"/>
    </row>
    <row r="292" spans="1:14" x14ac:dyDescent="0.25">
      <c r="A292" s="20"/>
      <c r="B292" s="20"/>
      <c r="C292" s="20"/>
      <c r="D292" s="115"/>
      <c r="E292" s="115"/>
      <c r="F292" s="20"/>
      <c r="G292" s="21"/>
      <c r="H292" s="24" t="s">
        <v>1135</v>
      </c>
      <c r="I292" s="24"/>
      <c r="J292" s="21"/>
      <c r="L292" s="21"/>
      <c r="N292" s="21"/>
    </row>
    <row r="293" spans="1:14" x14ac:dyDescent="0.25">
      <c r="A293" s="20"/>
      <c r="B293" s="20"/>
      <c r="C293" s="20"/>
      <c r="D293" s="115"/>
      <c r="E293" s="115"/>
      <c r="F293" s="20"/>
      <c r="G293" s="21"/>
      <c r="H293" s="24" t="s">
        <v>1136</v>
      </c>
      <c r="I293" s="24" t="s">
        <v>1136</v>
      </c>
      <c r="J293" s="21"/>
      <c r="L293" s="21"/>
      <c r="N293" s="21"/>
    </row>
    <row r="294" spans="1:14" x14ac:dyDescent="0.25">
      <c r="A294" s="20"/>
      <c r="B294" s="20"/>
      <c r="C294" s="20"/>
      <c r="D294" s="115"/>
      <c r="E294" s="115"/>
      <c r="F294" s="20"/>
      <c r="G294" s="21"/>
      <c r="H294" s="24" t="s">
        <v>1137</v>
      </c>
      <c r="I294" s="24"/>
      <c r="J294" s="21"/>
      <c r="L294" s="21"/>
      <c r="N294" s="21"/>
    </row>
    <row r="295" spans="1:14" x14ac:dyDescent="0.25">
      <c r="A295" s="20"/>
      <c r="B295" s="20"/>
      <c r="C295" s="20"/>
      <c r="D295" s="115"/>
      <c r="E295" s="115"/>
      <c r="F295" s="20"/>
      <c r="G295" s="21"/>
      <c r="H295" s="24" t="s">
        <v>1138</v>
      </c>
      <c r="I295" s="24"/>
      <c r="J295" s="21"/>
      <c r="L295" s="21"/>
      <c r="N295" s="21"/>
    </row>
    <row r="296" spans="1:14" x14ac:dyDescent="0.25">
      <c r="A296" s="20"/>
      <c r="B296" s="20"/>
      <c r="C296" s="20"/>
      <c r="D296" s="115"/>
      <c r="E296" s="115"/>
      <c r="F296" s="20"/>
      <c r="G296" s="21"/>
      <c r="H296" s="24" t="s">
        <v>1139</v>
      </c>
      <c r="I296" s="24"/>
      <c r="J296" s="21"/>
      <c r="L296" s="21"/>
      <c r="N296" s="21"/>
    </row>
    <row r="297" spans="1:14" x14ac:dyDescent="0.25">
      <c r="A297" s="20"/>
      <c r="B297" s="20"/>
      <c r="C297" s="20"/>
      <c r="D297" s="115"/>
      <c r="E297" s="115"/>
      <c r="F297" s="20"/>
      <c r="G297" s="21"/>
      <c r="H297" s="24" t="s">
        <v>1140</v>
      </c>
      <c r="I297" s="24"/>
      <c r="J297" s="21"/>
      <c r="L297" s="21"/>
      <c r="N297" s="21"/>
    </row>
    <row r="298" spans="1:14" x14ac:dyDescent="0.25">
      <c r="A298" s="20"/>
      <c r="B298" s="20"/>
      <c r="C298" s="20"/>
      <c r="D298" s="115"/>
      <c r="E298" s="115"/>
      <c r="F298" s="20"/>
      <c r="G298" s="21"/>
      <c r="H298" s="24" t="s">
        <v>1141</v>
      </c>
      <c r="I298" s="24"/>
      <c r="J298" s="21"/>
      <c r="L298" s="21"/>
      <c r="N298" s="21"/>
    </row>
    <row r="299" spans="1:14" x14ac:dyDescent="0.25">
      <c r="A299" s="20"/>
      <c r="B299" s="20"/>
      <c r="C299" s="20"/>
      <c r="D299" s="115"/>
      <c r="E299" s="115"/>
      <c r="F299" s="20"/>
      <c r="G299" s="21"/>
      <c r="H299" s="24" t="s">
        <v>1142</v>
      </c>
      <c r="I299" s="24"/>
      <c r="J299" s="21"/>
      <c r="L299" s="21"/>
      <c r="N299" s="21"/>
    </row>
    <row r="300" spans="1:14" x14ac:dyDescent="0.25">
      <c r="A300" s="20"/>
      <c r="B300" s="20"/>
      <c r="C300" s="20"/>
      <c r="D300" s="115"/>
      <c r="E300" s="115"/>
      <c r="F300" s="20"/>
      <c r="G300" s="21"/>
      <c r="H300" s="24" t="s">
        <v>1143</v>
      </c>
      <c r="I300" s="24"/>
      <c r="J300" s="21"/>
      <c r="L300" s="21"/>
      <c r="N300" s="21"/>
    </row>
    <row r="301" spans="1:14" x14ac:dyDescent="0.25">
      <c r="A301" s="20"/>
      <c r="B301" s="20"/>
      <c r="C301" s="20"/>
      <c r="D301" s="115"/>
      <c r="E301" s="115"/>
      <c r="F301" s="20"/>
      <c r="G301" s="21"/>
      <c r="H301" s="24" t="s">
        <v>1144</v>
      </c>
      <c r="I301" s="24" t="s">
        <v>1144</v>
      </c>
      <c r="J301" s="21"/>
      <c r="L301" s="21"/>
      <c r="N301" s="21"/>
    </row>
    <row r="302" spans="1:14" x14ac:dyDescent="0.25">
      <c r="A302" s="20"/>
      <c r="B302" s="20"/>
      <c r="C302" s="20"/>
      <c r="D302" s="115"/>
      <c r="E302" s="115"/>
      <c r="F302" s="20"/>
      <c r="G302" s="21"/>
      <c r="H302" s="24" t="s">
        <v>1145</v>
      </c>
      <c r="I302" s="24"/>
      <c r="J302" s="21"/>
      <c r="L302" s="21"/>
      <c r="N302" s="21"/>
    </row>
    <row r="303" spans="1:14" x14ac:dyDescent="0.25">
      <c r="A303" s="20"/>
      <c r="B303" s="20"/>
      <c r="C303" s="20"/>
      <c r="D303" s="115"/>
      <c r="E303" s="115"/>
      <c r="F303" s="20"/>
      <c r="G303" s="21"/>
      <c r="H303" s="24" t="s">
        <v>180</v>
      </c>
      <c r="I303" s="24" t="s">
        <v>1146</v>
      </c>
      <c r="J303" s="21"/>
      <c r="L303" s="21"/>
      <c r="N303" s="21"/>
    </row>
    <row r="304" spans="1:14" x14ac:dyDescent="0.25">
      <c r="A304" s="20"/>
      <c r="B304" s="20"/>
      <c r="C304" s="20"/>
      <c r="D304" s="115"/>
      <c r="E304" s="115"/>
      <c r="F304" s="20"/>
      <c r="G304" s="21"/>
      <c r="H304" s="24" t="s">
        <v>1147</v>
      </c>
      <c r="I304" s="24"/>
      <c r="J304" s="21"/>
      <c r="L304" s="21"/>
      <c r="N304" s="21"/>
    </row>
    <row r="305" spans="1:14" x14ac:dyDescent="0.25">
      <c r="A305" s="20"/>
      <c r="B305" s="20"/>
      <c r="C305" s="20"/>
      <c r="D305" s="115"/>
      <c r="E305" s="115"/>
      <c r="F305" s="20"/>
      <c r="G305" s="21"/>
      <c r="H305" s="24" t="s">
        <v>1148</v>
      </c>
      <c r="I305" s="24"/>
      <c r="J305" s="21"/>
      <c r="L305" s="21"/>
      <c r="N305" s="21"/>
    </row>
    <row r="306" spans="1:14" x14ac:dyDescent="0.25">
      <c r="A306" s="20"/>
      <c r="B306" s="20"/>
      <c r="C306" s="20"/>
      <c r="D306" s="115"/>
      <c r="E306" s="115"/>
      <c r="F306" s="20"/>
      <c r="G306" s="21"/>
      <c r="H306" s="24" t="s">
        <v>1149</v>
      </c>
      <c r="I306" s="24"/>
      <c r="J306" s="21"/>
      <c r="L306" s="21"/>
      <c r="N306" s="21"/>
    </row>
    <row r="307" spans="1:14" x14ac:dyDescent="0.25">
      <c r="A307" s="20"/>
      <c r="B307" s="20"/>
      <c r="C307" s="20"/>
      <c r="D307" s="115"/>
      <c r="E307" s="115"/>
      <c r="F307" s="20"/>
      <c r="G307" s="21"/>
      <c r="H307" s="24" t="s">
        <v>1150</v>
      </c>
      <c r="I307" s="24"/>
      <c r="J307" s="21"/>
      <c r="L307" s="21"/>
      <c r="N307" s="21"/>
    </row>
    <row r="308" spans="1:14" x14ac:dyDescent="0.25">
      <c r="A308" s="20"/>
      <c r="B308" s="20"/>
      <c r="C308" s="20"/>
      <c r="D308" s="115"/>
      <c r="E308" s="115"/>
      <c r="F308" s="20"/>
      <c r="G308" s="21"/>
      <c r="H308" s="24" t="s">
        <v>1146</v>
      </c>
      <c r="I308" s="24" t="s">
        <v>1146</v>
      </c>
      <c r="J308" s="21"/>
      <c r="L308" s="21"/>
      <c r="N308" s="21"/>
    </row>
    <row r="309" spans="1:14" x14ac:dyDescent="0.25">
      <c r="A309" s="20"/>
      <c r="B309" s="20"/>
      <c r="C309" s="20"/>
      <c r="D309" s="115"/>
      <c r="E309" s="115"/>
      <c r="F309" s="20"/>
      <c r="G309" s="21"/>
      <c r="H309" s="24" t="s">
        <v>1151</v>
      </c>
      <c r="I309" s="24"/>
      <c r="J309" s="21"/>
      <c r="L309" s="21"/>
      <c r="N309" s="21"/>
    </row>
    <row r="310" spans="1:14" x14ac:dyDescent="0.25">
      <c r="A310" s="20"/>
      <c r="B310" s="20"/>
      <c r="C310" s="20"/>
      <c r="D310" s="115"/>
      <c r="E310" s="115"/>
      <c r="F310" s="20"/>
      <c r="G310" s="21"/>
      <c r="H310" s="24" t="s">
        <v>1152</v>
      </c>
      <c r="I310" s="24"/>
      <c r="J310" s="21"/>
      <c r="L310" s="21"/>
      <c r="N310" s="21"/>
    </row>
    <row r="311" spans="1:14" x14ac:dyDescent="0.25">
      <c r="A311" s="20"/>
      <c r="B311" s="20"/>
      <c r="C311" s="20"/>
      <c r="D311" s="115"/>
      <c r="E311" s="115"/>
      <c r="F311" s="20"/>
      <c r="G311" s="21"/>
      <c r="H311" s="24" t="s">
        <v>928</v>
      </c>
      <c r="I311" s="24"/>
      <c r="J311" s="21"/>
      <c r="L311" s="21"/>
      <c r="N311" s="21"/>
    </row>
    <row r="312" spans="1:14" x14ac:dyDescent="0.25">
      <c r="A312" s="20"/>
      <c r="B312" s="20"/>
      <c r="C312" s="20"/>
      <c r="D312" s="115"/>
      <c r="E312" s="115"/>
      <c r="F312" s="20"/>
      <c r="G312" s="21"/>
      <c r="H312" s="24" t="s">
        <v>1153</v>
      </c>
      <c r="I312" s="24"/>
      <c r="J312" s="21"/>
      <c r="L312" s="21"/>
      <c r="N312" s="21"/>
    </row>
    <row r="313" spans="1:14" x14ac:dyDescent="0.25">
      <c r="A313" s="20"/>
      <c r="B313" s="20"/>
      <c r="C313" s="20"/>
      <c r="D313" s="115"/>
      <c r="E313" s="115"/>
      <c r="F313" s="20"/>
      <c r="G313" s="21"/>
      <c r="H313" s="24" t="s">
        <v>1154</v>
      </c>
      <c r="I313" s="24"/>
      <c r="J313" s="21"/>
      <c r="L313" s="21"/>
      <c r="N313" s="21"/>
    </row>
    <row r="314" spans="1:14" x14ac:dyDescent="0.25">
      <c r="A314" s="20"/>
      <c r="B314" s="20"/>
      <c r="C314" s="20"/>
      <c r="D314" s="115"/>
      <c r="E314" s="115"/>
      <c r="F314" s="20"/>
      <c r="G314" s="21"/>
      <c r="H314" s="24" t="s">
        <v>1155</v>
      </c>
      <c r="I314" s="24"/>
      <c r="J314" s="21"/>
      <c r="L314" s="21"/>
      <c r="N314" s="21"/>
    </row>
    <row r="315" spans="1:14" x14ac:dyDescent="0.25">
      <c r="A315" s="20"/>
      <c r="B315" s="20"/>
      <c r="C315" s="20"/>
      <c r="D315" s="115"/>
      <c r="E315" s="115"/>
      <c r="F315" s="20"/>
      <c r="G315" s="21"/>
      <c r="H315" s="24" t="s">
        <v>430</v>
      </c>
      <c r="I315" s="24" t="s">
        <v>430</v>
      </c>
      <c r="J315" s="21"/>
      <c r="L315" s="21"/>
      <c r="N315" s="21"/>
    </row>
    <row r="316" spans="1:14" x14ac:dyDescent="0.25">
      <c r="A316" s="20"/>
      <c r="B316" s="20"/>
      <c r="C316" s="20"/>
      <c r="D316" s="115"/>
      <c r="E316" s="115"/>
      <c r="F316" s="20"/>
      <c r="G316" s="21"/>
      <c r="H316" s="24" t="s">
        <v>1156</v>
      </c>
      <c r="I316" s="24"/>
      <c r="J316" s="21"/>
      <c r="L316" s="21"/>
      <c r="N316" s="21"/>
    </row>
    <row r="317" spans="1:14" x14ac:dyDescent="0.25">
      <c r="A317" s="20"/>
      <c r="B317" s="20"/>
      <c r="C317" s="20"/>
      <c r="D317" s="115"/>
      <c r="E317" s="115"/>
      <c r="F317" s="20"/>
      <c r="G317" s="21"/>
      <c r="H317" s="24" t="s">
        <v>505</v>
      </c>
      <c r="I317" s="24" t="s">
        <v>505</v>
      </c>
      <c r="J317" s="21"/>
      <c r="L317" s="21"/>
      <c r="N317" s="21"/>
    </row>
    <row r="318" spans="1:14" x14ac:dyDescent="0.25">
      <c r="A318" s="20"/>
      <c r="B318" s="20"/>
      <c r="C318" s="20"/>
      <c r="D318" s="115"/>
      <c r="E318" s="115"/>
      <c r="F318" s="20"/>
      <c r="G318" s="21"/>
      <c r="H318" s="24" t="s">
        <v>1157</v>
      </c>
      <c r="I318" s="24" t="s">
        <v>1157</v>
      </c>
      <c r="J318" s="21"/>
      <c r="L318" s="21"/>
      <c r="N318" s="21"/>
    </row>
    <row r="319" spans="1:14" x14ac:dyDescent="0.25">
      <c r="A319" s="20"/>
      <c r="B319" s="20"/>
      <c r="C319" s="20"/>
      <c r="D319" s="115"/>
      <c r="E319" s="115"/>
      <c r="F319" s="20"/>
      <c r="G319" s="21"/>
      <c r="H319" s="24" t="s">
        <v>1158</v>
      </c>
      <c r="I319" s="24" t="s">
        <v>1158</v>
      </c>
      <c r="J319" s="21"/>
      <c r="L319" s="21"/>
      <c r="N319" s="21"/>
    </row>
    <row r="320" spans="1:14" x14ac:dyDescent="0.25">
      <c r="A320" s="20"/>
      <c r="B320" s="20"/>
      <c r="C320" s="20"/>
      <c r="D320" s="115"/>
      <c r="E320" s="115"/>
      <c r="F320" s="20"/>
      <c r="G320" s="21"/>
      <c r="H320" s="24" t="s">
        <v>1159</v>
      </c>
      <c r="I320" s="24"/>
      <c r="J320" s="21"/>
      <c r="L320" s="21"/>
      <c r="N320" s="21"/>
    </row>
    <row r="321" spans="1:14" x14ac:dyDescent="0.25">
      <c r="A321" s="20"/>
      <c r="B321" s="20"/>
      <c r="C321" s="20"/>
      <c r="D321" s="115"/>
      <c r="E321" s="115"/>
      <c r="F321" s="20"/>
      <c r="G321" s="21"/>
      <c r="H321" s="24" t="s">
        <v>289</v>
      </c>
      <c r="I321" s="24" t="s">
        <v>288</v>
      </c>
      <c r="J321" s="21"/>
      <c r="L321" s="21"/>
      <c r="N321" s="21"/>
    </row>
    <row r="322" spans="1:14" x14ac:dyDescent="0.25">
      <c r="A322" s="20"/>
      <c r="B322" s="20"/>
      <c r="C322" s="20"/>
      <c r="D322" s="115"/>
      <c r="E322" s="115"/>
      <c r="F322" s="20"/>
      <c r="G322" s="21"/>
      <c r="H322" s="24" t="s">
        <v>1160</v>
      </c>
      <c r="I322" s="24"/>
      <c r="J322" s="21"/>
      <c r="L322" s="21"/>
      <c r="N322" s="21"/>
    </row>
    <row r="323" spans="1:14" x14ac:dyDescent="0.25">
      <c r="A323" s="20"/>
      <c r="B323" s="20"/>
      <c r="C323" s="20"/>
      <c r="D323" s="115"/>
      <c r="E323" s="115"/>
      <c r="F323" s="20"/>
      <c r="G323" s="21"/>
      <c r="H323" s="24" t="s">
        <v>503</v>
      </c>
      <c r="I323" s="24" t="s">
        <v>503</v>
      </c>
      <c r="J323" s="21"/>
      <c r="L323" s="21"/>
      <c r="N323" s="21"/>
    </row>
    <row r="324" spans="1:14" x14ac:dyDescent="0.25">
      <c r="A324" s="20"/>
      <c r="B324" s="20"/>
      <c r="C324" s="20"/>
      <c r="D324" s="115"/>
      <c r="E324" s="115"/>
      <c r="F324" s="20"/>
      <c r="G324" s="21"/>
      <c r="H324" s="24" t="s">
        <v>1161</v>
      </c>
      <c r="I324" s="24" t="s">
        <v>1162</v>
      </c>
      <c r="J324" s="21"/>
      <c r="L324" s="21"/>
      <c r="N324" s="21"/>
    </row>
    <row r="325" spans="1:14" x14ac:dyDescent="0.25">
      <c r="A325" s="20"/>
      <c r="B325" s="20"/>
      <c r="C325" s="20"/>
      <c r="D325" s="115"/>
      <c r="E325" s="115"/>
      <c r="F325" s="20"/>
      <c r="G325" s="21"/>
      <c r="H325" s="24" t="s">
        <v>223</v>
      </c>
      <c r="I325" s="24" t="s">
        <v>223</v>
      </c>
      <c r="J325" s="21"/>
      <c r="L325" s="21"/>
      <c r="N325" s="21"/>
    </row>
    <row r="326" spans="1:14" x14ac:dyDescent="0.25">
      <c r="A326" s="20"/>
      <c r="B326" s="20"/>
      <c r="C326" s="20"/>
      <c r="D326" s="115"/>
      <c r="E326" s="115"/>
      <c r="F326" s="20"/>
      <c r="G326" s="21"/>
      <c r="H326" s="24" t="s">
        <v>1163</v>
      </c>
      <c r="I326" s="24"/>
      <c r="J326" s="21"/>
      <c r="L326" s="21"/>
      <c r="N326" s="21"/>
    </row>
    <row r="327" spans="1:14" x14ac:dyDescent="0.25">
      <c r="A327" s="20"/>
      <c r="B327" s="20"/>
      <c r="C327" s="20"/>
      <c r="D327" s="115"/>
      <c r="E327" s="115"/>
      <c r="F327" s="20"/>
      <c r="G327" s="21"/>
      <c r="H327" s="24" t="s">
        <v>1164</v>
      </c>
      <c r="I327" s="24"/>
      <c r="J327" s="21"/>
      <c r="L327" s="21"/>
      <c r="N327" s="21"/>
    </row>
    <row r="328" spans="1:14" x14ac:dyDescent="0.25">
      <c r="A328" s="20"/>
      <c r="B328" s="20"/>
      <c r="C328" s="20"/>
      <c r="D328" s="115"/>
      <c r="E328" s="115"/>
      <c r="F328" s="20"/>
      <c r="G328" s="21"/>
      <c r="H328" s="24" t="s">
        <v>1165</v>
      </c>
      <c r="I328" s="24"/>
      <c r="J328" s="21"/>
      <c r="L328" s="21"/>
      <c r="N328" s="21"/>
    </row>
    <row r="329" spans="1:14" x14ac:dyDescent="0.25">
      <c r="A329" s="20"/>
      <c r="B329" s="20"/>
      <c r="C329" s="20"/>
      <c r="D329" s="115"/>
      <c r="E329" s="115"/>
      <c r="F329" s="20"/>
      <c r="G329" s="21"/>
      <c r="H329" s="24" t="s">
        <v>1166</v>
      </c>
      <c r="I329" s="24"/>
      <c r="J329" s="21"/>
      <c r="L329" s="21"/>
      <c r="N329" s="21"/>
    </row>
    <row r="330" spans="1:14" x14ac:dyDescent="0.25">
      <c r="A330" s="20"/>
      <c r="B330" s="20"/>
      <c r="C330" s="20"/>
      <c r="D330" s="115"/>
      <c r="E330" s="115"/>
      <c r="F330" s="20"/>
      <c r="G330" s="21"/>
      <c r="H330" s="24" t="s">
        <v>1167</v>
      </c>
      <c r="I330" s="24"/>
      <c r="J330" s="21"/>
      <c r="L330" s="21"/>
      <c r="N330" s="21"/>
    </row>
    <row r="331" spans="1:14" x14ac:dyDescent="0.25">
      <c r="A331" s="20"/>
      <c r="B331" s="20"/>
      <c r="C331" s="20"/>
      <c r="D331" s="115"/>
      <c r="E331" s="115"/>
      <c r="F331" s="20"/>
      <c r="G331" s="21"/>
      <c r="H331" s="24" t="s">
        <v>1168</v>
      </c>
      <c r="I331" s="24"/>
      <c r="J331" s="21"/>
      <c r="L331" s="21"/>
      <c r="N331" s="21"/>
    </row>
    <row r="332" spans="1:14" x14ac:dyDescent="0.25">
      <c r="A332" s="20"/>
      <c r="B332" s="20"/>
      <c r="C332" s="20"/>
      <c r="D332" s="115"/>
      <c r="E332" s="115"/>
      <c r="F332" s="20"/>
      <c r="G332" s="21"/>
      <c r="H332" s="24" t="s">
        <v>1169</v>
      </c>
      <c r="I332" s="24"/>
      <c r="J332" s="21"/>
      <c r="L332" s="21"/>
      <c r="N332" s="21"/>
    </row>
    <row r="333" spans="1:14" x14ac:dyDescent="0.25">
      <c r="A333" s="20"/>
      <c r="B333" s="20"/>
      <c r="C333" s="20"/>
      <c r="D333" s="115"/>
      <c r="E333" s="115"/>
      <c r="F333" s="20"/>
      <c r="G333" s="21"/>
      <c r="H333" s="24" t="s">
        <v>428</v>
      </c>
      <c r="I333" s="24" t="s">
        <v>428</v>
      </c>
      <c r="J333" s="21"/>
      <c r="L333" s="21"/>
      <c r="N333" s="21"/>
    </row>
    <row r="334" spans="1:14" x14ac:dyDescent="0.25">
      <c r="A334" s="20"/>
      <c r="B334" s="20"/>
      <c r="C334" s="20"/>
      <c r="D334" s="115"/>
      <c r="E334" s="115"/>
      <c r="F334" s="20"/>
      <c r="G334" s="21"/>
      <c r="H334" s="24" t="s">
        <v>321</v>
      </c>
      <c r="I334" s="24" t="s">
        <v>321</v>
      </c>
      <c r="J334" s="21"/>
      <c r="L334" s="21"/>
      <c r="N334" s="21"/>
    </row>
    <row r="335" spans="1:14" x14ac:dyDescent="0.25">
      <c r="A335" s="20"/>
      <c r="B335" s="20"/>
      <c r="C335" s="20"/>
      <c r="D335" s="115"/>
      <c r="E335" s="115"/>
      <c r="F335" s="20"/>
      <c r="G335" s="21"/>
      <c r="H335" s="24" t="s">
        <v>510</v>
      </c>
      <c r="I335" s="24" t="s">
        <v>510</v>
      </c>
      <c r="J335" s="21"/>
      <c r="L335" s="21"/>
      <c r="N335" s="21"/>
    </row>
    <row r="336" spans="1:14" x14ac:dyDescent="0.25">
      <c r="A336" s="20"/>
      <c r="B336" s="20"/>
      <c r="C336" s="20"/>
      <c r="D336" s="115"/>
      <c r="E336" s="115"/>
      <c r="F336" s="20"/>
      <c r="G336" s="21"/>
      <c r="H336" s="24" t="s">
        <v>1170</v>
      </c>
      <c r="I336" s="24"/>
      <c r="J336" s="21"/>
      <c r="L336" s="21"/>
      <c r="N336" s="21"/>
    </row>
    <row r="337" spans="1:14" x14ac:dyDescent="0.25">
      <c r="A337" s="20"/>
      <c r="B337" s="20"/>
      <c r="C337" s="20"/>
      <c r="D337" s="115"/>
      <c r="E337" s="115"/>
      <c r="F337" s="20"/>
      <c r="G337" s="21"/>
      <c r="H337" s="24" t="s">
        <v>1171</v>
      </c>
      <c r="I337" s="24"/>
      <c r="J337" s="21"/>
      <c r="L337" s="21"/>
      <c r="N337" s="21"/>
    </row>
    <row r="338" spans="1:14" x14ac:dyDescent="0.25">
      <c r="A338" s="20"/>
      <c r="B338" s="20"/>
      <c r="C338" s="20"/>
      <c r="D338" s="115"/>
      <c r="E338" s="115"/>
      <c r="F338" s="20"/>
      <c r="G338" s="21"/>
      <c r="H338" s="24" t="s">
        <v>271</v>
      </c>
      <c r="I338" s="24" t="s">
        <v>271</v>
      </c>
      <c r="J338" s="21"/>
      <c r="L338" s="21"/>
      <c r="N338" s="21"/>
    </row>
    <row r="339" spans="1:14" x14ac:dyDescent="0.25">
      <c r="A339" s="20"/>
      <c r="B339" s="20"/>
      <c r="C339" s="20"/>
      <c r="D339" s="115"/>
      <c r="E339" s="115"/>
      <c r="F339" s="20"/>
      <c r="G339" s="21"/>
      <c r="H339" s="24" t="s">
        <v>1172</v>
      </c>
      <c r="I339" s="24"/>
      <c r="J339" s="21"/>
      <c r="L339" s="21"/>
      <c r="N339" s="21"/>
    </row>
    <row r="340" spans="1:14" x14ac:dyDescent="0.25">
      <c r="A340" s="20"/>
      <c r="B340" s="20"/>
      <c r="C340" s="20"/>
      <c r="D340" s="115"/>
      <c r="E340" s="115"/>
      <c r="F340" s="20"/>
      <c r="G340" s="21"/>
      <c r="H340" s="24" t="s">
        <v>1173</v>
      </c>
      <c r="I340" s="24"/>
      <c r="J340" s="21"/>
      <c r="L340" s="21"/>
      <c r="N340" s="21"/>
    </row>
    <row r="341" spans="1:14" x14ac:dyDescent="0.25">
      <c r="A341" s="20"/>
      <c r="B341" s="20"/>
      <c r="C341" s="20"/>
      <c r="D341" s="115"/>
      <c r="E341" s="115"/>
      <c r="F341" s="20"/>
      <c r="G341" s="21"/>
      <c r="H341" s="24" t="s">
        <v>1174</v>
      </c>
      <c r="I341" s="24"/>
      <c r="J341" s="21"/>
      <c r="L341" s="21"/>
      <c r="N341" s="21"/>
    </row>
    <row r="342" spans="1:14" x14ac:dyDescent="0.25">
      <c r="A342" s="20"/>
      <c r="B342" s="20"/>
      <c r="C342" s="20"/>
      <c r="D342" s="115"/>
      <c r="E342" s="115"/>
      <c r="F342" s="20"/>
      <c r="G342" s="21"/>
      <c r="H342" s="24" t="s">
        <v>1175</v>
      </c>
      <c r="I342" s="24"/>
      <c r="J342" s="21"/>
      <c r="L342" s="21"/>
      <c r="N342" s="21"/>
    </row>
    <row r="343" spans="1:14" x14ac:dyDescent="0.25">
      <c r="A343" s="20"/>
      <c r="B343" s="20"/>
      <c r="C343" s="20"/>
      <c r="D343" s="115"/>
      <c r="E343" s="115"/>
      <c r="F343" s="20"/>
      <c r="G343" s="21"/>
      <c r="H343" s="24" t="s">
        <v>1176</v>
      </c>
      <c r="I343" s="24"/>
      <c r="J343" s="21"/>
      <c r="L343" s="21"/>
      <c r="N343" s="21"/>
    </row>
    <row r="344" spans="1:14" x14ac:dyDescent="0.25">
      <c r="A344" s="20"/>
      <c r="B344" s="20"/>
      <c r="C344" s="20"/>
      <c r="D344" s="115"/>
      <c r="E344" s="115"/>
      <c r="F344" s="20"/>
      <c r="G344" s="21"/>
      <c r="H344" s="24" t="s">
        <v>288</v>
      </c>
      <c r="I344" s="24" t="s">
        <v>288</v>
      </c>
      <c r="J344" s="21"/>
      <c r="L344" s="21"/>
      <c r="N344" s="21"/>
    </row>
    <row r="345" spans="1:14" x14ac:dyDescent="0.25">
      <c r="A345" s="20"/>
      <c r="B345" s="20"/>
      <c r="C345" s="20"/>
      <c r="D345" s="115"/>
      <c r="E345" s="115"/>
      <c r="F345" s="20"/>
      <c r="G345" s="21"/>
      <c r="H345" s="24" t="s">
        <v>1177</v>
      </c>
      <c r="I345" s="24"/>
      <c r="J345" s="21"/>
      <c r="L345" s="21"/>
      <c r="N345" s="21"/>
    </row>
    <row r="346" spans="1:14" x14ac:dyDescent="0.25">
      <c r="A346" s="20"/>
      <c r="B346" s="20"/>
      <c r="C346" s="20"/>
      <c r="D346" s="115"/>
      <c r="E346" s="115"/>
      <c r="F346" s="20"/>
      <c r="G346" s="21"/>
      <c r="H346" s="24" t="s">
        <v>1178</v>
      </c>
      <c r="I346" s="24"/>
      <c r="J346" s="21"/>
      <c r="L346" s="21"/>
      <c r="N346" s="21"/>
    </row>
    <row r="347" spans="1:14" x14ac:dyDescent="0.25">
      <c r="A347" s="20"/>
      <c r="B347" s="20"/>
      <c r="C347" s="20"/>
      <c r="D347" s="115"/>
      <c r="E347" s="115"/>
      <c r="F347" s="20"/>
      <c r="G347" s="21"/>
      <c r="H347" s="24" t="s">
        <v>1179</v>
      </c>
      <c r="I347" s="24"/>
      <c r="J347" s="21"/>
      <c r="L347" s="21"/>
      <c r="N347" s="21"/>
    </row>
    <row r="348" spans="1:14" x14ac:dyDescent="0.25">
      <c r="A348" s="20"/>
      <c r="B348" s="20"/>
      <c r="C348" s="20"/>
      <c r="D348" s="115"/>
      <c r="E348" s="115"/>
      <c r="F348" s="20"/>
      <c r="G348" s="21"/>
      <c r="H348" s="24" t="s">
        <v>1180</v>
      </c>
      <c r="I348" s="24" t="s">
        <v>1180</v>
      </c>
      <c r="J348" s="21"/>
      <c r="L348" s="21"/>
      <c r="N348" s="21"/>
    </row>
    <row r="349" spans="1:14" x14ac:dyDescent="0.25">
      <c r="A349" s="20"/>
      <c r="B349" s="20"/>
      <c r="C349" s="20"/>
      <c r="D349" s="115"/>
      <c r="E349" s="115"/>
      <c r="F349" s="20"/>
      <c r="G349" s="21"/>
      <c r="H349" s="24" t="s">
        <v>1181</v>
      </c>
      <c r="I349" s="24"/>
      <c r="J349" s="21"/>
      <c r="L349" s="21"/>
      <c r="N349" s="21"/>
    </row>
    <row r="350" spans="1:14" x14ac:dyDescent="0.25">
      <c r="A350" s="20"/>
      <c r="B350" s="20"/>
      <c r="C350" s="20"/>
      <c r="D350" s="115"/>
      <c r="E350" s="115"/>
      <c r="F350" s="20"/>
      <c r="G350" s="21"/>
      <c r="H350" s="24" t="s">
        <v>1182</v>
      </c>
      <c r="I350" s="24"/>
      <c r="J350" s="21"/>
      <c r="L350" s="21"/>
      <c r="N350" s="21"/>
    </row>
    <row r="351" spans="1:14" x14ac:dyDescent="0.25">
      <c r="A351" s="20"/>
      <c r="B351" s="20"/>
      <c r="C351" s="20"/>
      <c r="D351" s="115"/>
      <c r="E351" s="115"/>
      <c r="F351" s="20"/>
      <c r="G351" s="21"/>
      <c r="H351" s="24" t="s">
        <v>1183</v>
      </c>
      <c r="I351" s="24"/>
      <c r="J351" s="21"/>
      <c r="L351" s="21"/>
      <c r="N351" s="21"/>
    </row>
    <row r="352" spans="1:14" x14ac:dyDescent="0.25">
      <c r="A352" s="20"/>
      <c r="B352" s="20"/>
      <c r="C352" s="20"/>
      <c r="D352" s="115"/>
      <c r="E352" s="115"/>
      <c r="F352" s="20"/>
      <c r="G352" s="21"/>
      <c r="H352" s="24" t="s">
        <v>1184</v>
      </c>
      <c r="I352" s="24"/>
      <c r="J352" s="21"/>
      <c r="L352" s="21"/>
      <c r="N352" s="21"/>
    </row>
    <row r="353" spans="1:14" x14ac:dyDescent="0.25">
      <c r="A353" s="20"/>
      <c r="B353" s="20"/>
      <c r="C353" s="20"/>
      <c r="D353" s="115"/>
      <c r="E353" s="115"/>
      <c r="F353" s="20"/>
      <c r="G353" s="21"/>
      <c r="H353" s="24" t="s">
        <v>1185</v>
      </c>
      <c r="I353" s="24"/>
      <c r="J353" s="21"/>
      <c r="L353" s="21"/>
      <c r="N353" s="21"/>
    </row>
    <row r="354" spans="1:14" x14ac:dyDescent="0.25">
      <c r="A354" s="20"/>
      <c r="B354" s="20"/>
      <c r="C354" s="20"/>
      <c r="D354" s="115"/>
      <c r="E354" s="115"/>
      <c r="F354" s="20"/>
      <c r="G354" s="21"/>
      <c r="H354" s="24" t="s">
        <v>326</v>
      </c>
      <c r="I354" s="24" t="s">
        <v>326</v>
      </c>
      <c r="J354" s="21"/>
      <c r="L354" s="21"/>
      <c r="N354" s="21"/>
    </row>
    <row r="355" spans="1:14" x14ac:dyDescent="0.25">
      <c r="A355" s="20"/>
      <c r="B355" s="20"/>
      <c r="C355" s="20"/>
      <c r="D355" s="115"/>
      <c r="E355" s="115"/>
      <c r="F355" s="20"/>
      <c r="G355" s="21"/>
      <c r="H355" s="24" t="s">
        <v>542</v>
      </c>
      <c r="I355" s="24" t="s">
        <v>542</v>
      </c>
      <c r="J355" s="21"/>
      <c r="L355" s="21"/>
      <c r="N355" s="21"/>
    </row>
    <row r="356" spans="1:14" x14ac:dyDescent="0.25">
      <c r="A356" s="20"/>
      <c r="B356" s="20"/>
      <c r="C356" s="20"/>
      <c r="D356" s="115"/>
      <c r="E356" s="115"/>
      <c r="F356" s="20"/>
      <c r="G356" s="21"/>
      <c r="H356" s="24" t="s">
        <v>1186</v>
      </c>
      <c r="I356" s="24"/>
      <c r="J356" s="21"/>
      <c r="L356" s="21"/>
      <c r="N356" s="21"/>
    </row>
    <row r="357" spans="1:14" x14ac:dyDescent="0.25">
      <c r="A357" s="20"/>
      <c r="B357" s="20"/>
      <c r="C357" s="20"/>
      <c r="D357" s="115"/>
      <c r="E357" s="115"/>
      <c r="F357" s="20"/>
      <c r="G357" s="21"/>
      <c r="H357" s="24" t="s">
        <v>385</v>
      </c>
      <c r="I357" s="24" t="s">
        <v>385</v>
      </c>
      <c r="J357" s="21"/>
      <c r="L357" s="21"/>
      <c r="N357" s="21"/>
    </row>
    <row r="358" spans="1:14" x14ac:dyDescent="0.25">
      <c r="A358" s="20"/>
      <c r="B358" s="20"/>
      <c r="C358" s="20"/>
      <c r="D358" s="115"/>
      <c r="E358" s="115"/>
      <c r="F358" s="20"/>
      <c r="G358" s="21"/>
      <c r="H358" s="24" t="s">
        <v>1187</v>
      </c>
      <c r="I358" s="24"/>
      <c r="J358" s="21"/>
      <c r="L358" s="21"/>
      <c r="N358" s="21"/>
    </row>
    <row r="359" spans="1:14" x14ac:dyDescent="0.25">
      <c r="A359" s="20"/>
      <c r="B359" s="20"/>
      <c r="C359" s="20"/>
      <c r="D359" s="115"/>
      <c r="E359" s="115"/>
      <c r="F359" s="20"/>
      <c r="G359" s="21"/>
      <c r="H359" s="24" t="s">
        <v>1188</v>
      </c>
      <c r="I359" s="24"/>
      <c r="J359" s="21"/>
      <c r="L359" s="21"/>
      <c r="N359" s="21"/>
    </row>
    <row r="360" spans="1:14" x14ac:dyDescent="0.25">
      <c r="A360" s="20"/>
      <c r="B360" s="20"/>
      <c r="C360" s="20"/>
      <c r="D360" s="115"/>
      <c r="E360" s="115"/>
      <c r="F360" s="20"/>
      <c r="G360" s="21"/>
      <c r="H360" s="24" t="s">
        <v>404</v>
      </c>
      <c r="I360" s="24" t="s">
        <v>404</v>
      </c>
      <c r="J360" s="21"/>
      <c r="L360" s="21"/>
      <c r="N360" s="21"/>
    </row>
    <row r="361" spans="1:14" x14ac:dyDescent="0.25">
      <c r="A361" s="20"/>
      <c r="B361" s="20"/>
      <c r="C361" s="20"/>
      <c r="D361" s="115"/>
      <c r="E361" s="115"/>
      <c r="F361" s="20"/>
      <c r="G361" s="21"/>
      <c r="H361" s="24" t="s">
        <v>1189</v>
      </c>
      <c r="I361" s="24"/>
      <c r="J361" s="21"/>
      <c r="L361" s="21"/>
      <c r="N361" s="21"/>
    </row>
    <row r="362" spans="1:14" x14ac:dyDescent="0.25">
      <c r="A362" s="20"/>
      <c r="B362" s="20"/>
      <c r="C362" s="20"/>
      <c r="D362" s="115"/>
      <c r="E362" s="115"/>
      <c r="F362" s="20"/>
      <c r="G362" s="21"/>
      <c r="H362" s="24" t="s">
        <v>479</v>
      </c>
      <c r="I362" s="24" t="s">
        <v>479</v>
      </c>
      <c r="J362" s="21"/>
      <c r="L362" s="21"/>
      <c r="N362" s="21"/>
    </row>
    <row r="363" spans="1:14" x14ac:dyDescent="0.25">
      <c r="A363" s="20"/>
      <c r="B363" s="20"/>
      <c r="C363" s="20"/>
      <c r="D363" s="115"/>
      <c r="E363" s="115"/>
      <c r="F363" s="20"/>
      <c r="G363" s="21"/>
      <c r="H363" s="24" t="s">
        <v>1190</v>
      </c>
      <c r="I363" s="24"/>
      <c r="J363" s="21"/>
      <c r="L363" s="21"/>
      <c r="N363" s="21"/>
    </row>
    <row r="364" spans="1:14" x14ac:dyDescent="0.25">
      <c r="A364" s="20"/>
      <c r="B364" s="20"/>
      <c r="C364" s="20"/>
      <c r="D364" s="115"/>
      <c r="E364" s="115"/>
      <c r="F364" s="20"/>
      <c r="G364" s="21"/>
      <c r="H364" s="24" t="s">
        <v>299</v>
      </c>
      <c r="I364" s="24" t="s">
        <v>299</v>
      </c>
      <c r="J364" s="21"/>
      <c r="L364" s="21"/>
      <c r="N364" s="21"/>
    </row>
    <row r="365" spans="1:14" x14ac:dyDescent="0.25">
      <c r="A365" s="20"/>
      <c r="B365" s="20"/>
      <c r="C365" s="20"/>
      <c r="D365" s="115"/>
      <c r="E365" s="115"/>
      <c r="F365" s="20"/>
      <c r="G365" s="21"/>
      <c r="H365" s="24" t="s">
        <v>1191</v>
      </c>
      <c r="I365" s="24"/>
      <c r="J365" s="21"/>
      <c r="L365" s="21"/>
      <c r="N365" s="21"/>
    </row>
    <row r="366" spans="1:14" x14ac:dyDescent="0.25">
      <c r="A366" s="20"/>
      <c r="B366" s="20"/>
      <c r="C366" s="20"/>
      <c r="D366" s="115"/>
      <c r="E366" s="115"/>
      <c r="F366" s="20"/>
      <c r="G366" s="21"/>
      <c r="H366" s="24" t="s">
        <v>1192</v>
      </c>
      <c r="I366" s="24"/>
      <c r="J366" s="21"/>
      <c r="L366" s="21"/>
      <c r="N366" s="21"/>
    </row>
    <row r="367" spans="1:14" x14ac:dyDescent="0.25">
      <c r="A367" s="20"/>
      <c r="B367" s="20"/>
      <c r="C367" s="20"/>
      <c r="D367" s="115"/>
      <c r="E367" s="115"/>
      <c r="F367" s="20"/>
      <c r="G367" s="21"/>
      <c r="H367" s="24" t="s">
        <v>1193</v>
      </c>
      <c r="I367" s="24"/>
      <c r="J367" s="21"/>
      <c r="L367" s="21"/>
      <c r="N367" s="21"/>
    </row>
    <row r="368" spans="1:14" x14ac:dyDescent="0.25">
      <c r="A368" s="20"/>
      <c r="B368" s="20"/>
      <c r="C368" s="20"/>
      <c r="D368" s="115"/>
      <c r="E368" s="115"/>
      <c r="F368" s="20"/>
      <c r="G368" s="21"/>
      <c r="H368" s="24" t="s">
        <v>1194</v>
      </c>
      <c r="I368" s="24"/>
      <c r="J368" s="21"/>
      <c r="L368" s="21"/>
      <c r="N368" s="21"/>
    </row>
    <row r="369" spans="1:14" x14ac:dyDescent="0.25">
      <c r="A369" s="20"/>
      <c r="B369" s="20"/>
      <c r="C369" s="20"/>
      <c r="D369" s="115"/>
      <c r="E369" s="115"/>
      <c r="F369" s="20"/>
      <c r="G369" s="21"/>
      <c r="H369" s="24" t="s">
        <v>1195</v>
      </c>
      <c r="I369" s="24"/>
      <c r="J369" s="21"/>
      <c r="L369" s="21"/>
      <c r="N369" s="21"/>
    </row>
    <row r="370" spans="1:14" x14ac:dyDescent="0.25">
      <c r="A370" s="20"/>
      <c r="B370" s="20"/>
      <c r="C370" s="20"/>
      <c r="D370" s="115"/>
      <c r="E370" s="115"/>
      <c r="F370" s="20"/>
      <c r="G370" s="21"/>
      <c r="H370" s="24" t="s">
        <v>591</v>
      </c>
      <c r="I370" s="24" t="s">
        <v>590</v>
      </c>
      <c r="J370" s="21"/>
      <c r="L370" s="21"/>
      <c r="N370" s="21"/>
    </row>
    <row r="371" spans="1:14" x14ac:dyDescent="0.25">
      <c r="A371" s="20"/>
      <c r="B371" s="20"/>
      <c r="C371" s="20"/>
      <c r="D371" s="115"/>
      <c r="E371" s="115"/>
      <c r="F371" s="20"/>
      <c r="G371" s="21"/>
      <c r="H371" s="24" t="s">
        <v>1196</v>
      </c>
      <c r="I371" s="24"/>
      <c r="J371" s="21"/>
      <c r="L371" s="21"/>
      <c r="N371" s="21"/>
    </row>
    <row r="372" spans="1:14" x14ac:dyDescent="0.25">
      <c r="A372" s="20"/>
      <c r="B372" s="20"/>
      <c r="C372" s="20"/>
      <c r="D372" s="115"/>
      <c r="E372" s="115"/>
      <c r="F372" s="20"/>
      <c r="G372" s="21"/>
      <c r="H372" s="24" t="s">
        <v>323</v>
      </c>
      <c r="I372" s="24" t="s">
        <v>323</v>
      </c>
      <c r="J372" s="21"/>
      <c r="L372" s="21"/>
      <c r="N372" s="21"/>
    </row>
    <row r="373" spans="1:14" x14ac:dyDescent="0.25">
      <c r="A373" s="20"/>
      <c r="B373" s="20"/>
      <c r="C373" s="20"/>
      <c r="D373" s="115"/>
      <c r="E373" s="115"/>
      <c r="F373" s="20"/>
      <c r="G373" s="21"/>
      <c r="H373" s="24" t="s">
        <v>1197</v>
      </c>
      <c r="I373" s="24"/>
      <c r="J373" s="21"/>
      <c r="L373" s="21"/>
      <c r="N373" s="21"/>
    </row>
    <row r="374" spans="1:14" x14ac:dyDescent="0.25">
      <c r="A374" s="20"/>
      <c r="B374" s="20"/>
      <c r="C374" s="20"/>
      <c r="D374" s="115"/>
      <c r="E374" s="115"/>
      <c r="F374" s="20"/>
      <c r="G374" s="21"/>
      <c r="H374" s="24" t="s">
        <v>1198</v>
      </c>
      <c r="I374" s="24"/>
      <c r="J374" s="21"/>
      <c r="L374" s="21"/>
      <c r="N374" s="21"/>
    </row>
    <row r="375" spans="1:14" x14ac:dyDescent="0.25">
      <c r="A375" s="20"/>
      <c r="B375" s="20"/>
      <c r="C375" s="20"/>
      <c r="D375" s="115"/>
      <c r="E375" s="115"/>
      <c r="F375" s="20"/>
      <c r="G375" s="21"/>
      <c r="H375" s="24" t="s">
        <v>1199</v>
      </c>
      <c r="I375" s="24" t="s">
        <v>1199</v>
      </c>
      <c r="J375" s="21"/>
      <c r="L375" s="21"/>
      <c r="N375" s="21"/>
    </row>
    <row r="376" spans="1:14" x14ac:dyDescent="0.25">
      <c r="A376" s="20"/>
      <c r="B376" s="20"/>
      <c r="C376" s="20"/>
      <c r="D376" s="115"/>
      <c r="E376" s="115"/>
      <c r="F376" s="20"/>
      <c r="G376" s="21"/>
      <c r="H376" s="24" t="s">
        <v>1200</v>
      </c>
      <c r="I376" s="24"/>
      <c r="J376" s="21"/>
      <c r="L376" s="21"/>
      <c r="N376" s="21"/>
    </row>
    <row r="377" spans="1:14" x14ac:dyDescent="0.25">
      <c r="A377" s="20"/>
      <c r="B377" s="20"/>
      <c r="C377" s="20"/>
      <c r="D377" s="115"/>
      <c r="E377" s="115"/>
      <c r="F377" s="20"/>
      <c r="G377" s="21"/>
      <c r="H377" s="24" t="s">
        <v>276</v>
      </c>
      <c r="I377" s="24" t="s">
        <v>276</v>
      </c>
      <c r="J377" s="21"/>
      <c r="L377" s="21"/>
      <c r="N377" s="21"/>
    </row>
    <row r="378" spans="1:14" x14ac:dyDescent="0.25">
      <c r="A378" s="20"/>
      <c r="B378" s="20"/>
      <c r="C378" s="20"/>
      <c r="D378" s="115"/>
      <c r="E378" s="115"/>
      <c r="F378" s="20"/>
      <c r="G378" s="21"/>
      <c r="H378" s="24" t="s">
        <v>241</v>
      </c>
      <c r="I378" s="24" t="s">
        <v>241</v>
      </c>
      <c r="J378" s="21"/>
      <c r="L378" s="21"/>
      <c r="N378" s="21"/>
    </row>
    <row r="379" spans="1:14" x14ac:dyDescent="0.25">
      <c r="A379" s="20"/>
      <c r="B379" s="20"/>
      <c r="C379" s="20"/>
      <c r="D379" s="115"/>
      <c r="E379" s="115"/>
      <c r="F379" s="20"/>
      <c r="G379" s="21"/>
      <c r="H379" s="24" t="s">
        <v>1201</v>
      </c>
      <c r="I379" s="24"/>
      <c r="J379" s="21"/>
      <c r="L379" s="21"/>
      <c r="N379" s="21"/>
    </row>
    <row r="380" spans="1:14" x14ac:dyDescent="0.25">
      <c r="A380" s="20"/>
      <c r="B380" s="20"/>
      <c r="C380" s="20"/>
      <c r="D380" s="115"/>
      <c r="E380" s="115"/>
      <c r="F380" s="20"/>
      <c r="G380" s="21"/>
      <c r="H380" s="24" t="s">
        <v>1202</v>
      </c>
      <c r="I380" s="24"/>
      <c r="J380" s="21"/>
      <c r="L380" s="21"/>
      <c r="N380" s="21"/>
    </row>
    <row r="381" spans="1:14" x14ac:dyDescent="0.25">
      <c r="A381" s="20"/>
      <c r="B381" s="20"/>
      <c r="C381" s="20"/>
      <c r="D381" s="115"/>
      <c r="E381" s="115"/>
      <c r="F381" s="20"/>
      <c r="G381" s="21"/>
      <c r="H381" s="24" t="s">
        <v>490</v>
      </c>
      <c r="I381" s="24" t="s">
        <v>490</v>
      </c>
      <c r="J381" s="21"/>
      <c r="L381" s="21"/>
      <c r="N381" s="21"/>
    </row>
    <row r="382" spans="1:14" x14ac:dyDescent="0.25">
      <c r="A382" s="20"/>
      <c r="B382" s="20"/>
      <c r="C382" s="20"/>
      <c r="D382" s="115"/>
      <c r="E382" s="115"/>
      <c r="F382" s="20"/>
      <c r="G382" s="21"/>
      <c r="H382" s="24" t="s">
        <v>1203</v>
      </c>
      <c r="I382" s="24"/>
      <c r="J382" s="21"/>
      <c r="L382" s="21"/>
      <c r="N382" s="21"/>
    </row>
    <row r="383" spans="1:14" x14ac:dyDescent="0.25">
      <c r="A383" s="20"/>
      <c r="B383" s="20"/>
      <c r="C383" s="20"/>
      <c r="D383" s="115"/>
      <c r="E383" s="115"/>
      <c r="F383" s="20"/>
      <c r="G383" s="21"/>
      <c r="H383" s="24" t="s">
        <v>1204</v>
      </c>
      <c r="I383" s="24"/>
      <c r="J383" s="21"/>
      <c r="L383" s="21"/>
      <c r="N383" s="21"/>
    </row>
    <row r="384" spans="1:14" x14ac:dyDescent="0.25">
      <c r="A384" s="20"/>
      <c r="B384" s="20"/>
      <c r="C384" s="20"/>
      <c r="D384" s="115"/>
      <c r="E384" s="115"/>
      <c r="F384" s="20"/>
      <c r="G384" s="21"/>
      <c r="H384" s="24" t="s">
        <v>293</v>
      </c>
      <c r="I384" s="24" t="s">
        <v>293</v>
      </c>
      <c r="J384" s="21"/>
      <c r="L384" s="21"/>
      <c r="N384" s="21"/>
    </row>
    <row r="385" spans="1:14" x14ac:dyDescent="0.25">
      <c r="A385" s="20"/>
      <c r="B385" s="20"/>
      <c r="C385" s="20"/>
      <c r="D385" s="115"/>
      <c r="E385" s="115"/>
      <c r="F385" s="20"/>
      <c r="G385" s="21"/>
      <c r="H385" s="24" t="s">
        <v>1205</v>
      </c>
      <c r="I385" s="24"/>
      <c r="J385" s="21"/>
      <c r="L385" s="21"/>
      <c r="N385" s="21"/>
    </row>
    <row r="386" spans="1:14" x14ac:dyDescent="0.25">
      <c r="A386" s="20"/>
      <c r="B386" s="20"/>
      <c r="C386" s="20"/>
      <c r="D386" s="115"/>
      <c r="E386" s="115"/>
      <c r="F386" s="20"/>
      <c r="G386" s="21"/>
      <c r="H386" s="24" t="s">
        <v>1206</v>
      </c>
      <c r="I386" s="24"/>
      <c r="J386" s="21"/>
      <c r="L386" s="21"/>
      <c r="N386" s="21"/>
    </row>
    <row r="387" spans="1:14" x14ac:dyDescent="0.25">
      <c r="A387" s="20"/>
      <c r="B387" s="20"/>
      <c r="C387" s="20"/>
      <c r="D387" s="115"/>
      <c r="E387" s="115"/>
      <c r="F387" s="20"/>
      <c r="G387" s="21"/>
      <c r="H387" s="24" t="s">
        <v>1207</v>
      </c>
      <c r="I387" s="24"/>
      <c r="J387" s="21"/>
      <c r="L387" s="21"/>
      <c r="N387" s="21"/>
    </row>
    <row r="388" spans="1:14" x14ac:dyDescent="0.25">
      <c r="A388" s="20"/>
      <c r="B388" s="20"/>
      <c r="C388" s="20"/>
      <c r="D388" s="115"/>
      <c r="E388" s="115"/>
      <c r="F388" s="20"/>
      <c r="G388" s="21"/>
      <c r="H388" s="24" t="s">
        <v>1208</v>
      </c>
      <c r="I388" s="24"/>
      <c r="J388" s="21"/>
      <c r="L388" s="21"/>
      <c r="N388" s="21"/>
    </row>
    <row r="389" spans="1:14" x14ac:dyDescent="0.25">
      <c r="A389" s="20"/>
      <c r="B389" s="20"/>
      <c r="C389" s="20"/>
      <c r="D389" s="115"/>
      <c r="E389" s="115"/>
      <c r="F389" s="20"/>
      <c r="G389" s="21"/>
      <c r="H389" s="24" t="s">
        <v>291</v>
      </c>
      <c r="I389" s="24" t="s">
        <v>291</v>
      </c>
      <c r="J389" s="21"/>
      <c r="L389" s="21"/>
      <c r="N389" s="21"/>
    </row>
    <row r="390" spans="1:14" x14ac:dyDescent="0.25">
      <c r="A390" s="20"/>
      <c r="B390" s="20"/>
      <c r="C390" s="20"/>
      <c r="D390" s="115"/>
      <c r="E390" s="115"/>
      <c r="F390" s="20"/>
      <c r="G390" s="21"/>
      <c r="H390" s="24" t="s">
        <v>305</v>
      </c>
      <c r="I390" s="24" t="s">
        <v>305</v>
      </c>
      <c r="J390" s="21"/>
      <c r="L390" s="21"/>
      <c r="N390" s="21"/>
    </row>
    <row r="391" spans="1:14" x14ac:dyDescent="0.25">
      <c r="A391" s="20"/>
      <c r="B391" s="20"/>
      <c r="C391" s="20"/>
      <c r="D391" s="115"/>
      <c r="E391" s="115"/>
      <c r="F391" s="20"/>
      <c r="G391" s="21"/>
      <c r="H391" s="24" t="s">
        <v>1209</v>
      </c>
      <c r="I391" s="24"/>
      <c r="J391" s="21"/>
      <c r="L391" s="21"/>
      <c r="N391" s="21"/>
    </row>
    <row r="392" spans="1:14" x14ac:dyDescent="0.25">
      <c r="A392" s="20"/>
      <c r="B392" s="20"/>
      <c r="C392" s="20"/>
      <c r="D392" s="115"/>
      <c r="E392" s="115"/>
      <c r="F392" s="20"/>
      <c r="G392" s="21"/>
      <c r="H392" s="24" t="s">
        <v>1210</v>
      </c>
      <c r="I392" s="24" t="s">
        <v>1210</v>
      </c>
      <c r="J392" s="21"/>
      <c r="L392" s="21"/>
      <c r="N392" s="21"/>
    </row>
    <row r="393" spans="1:14" x14ac:dyDescent="0.25">
      <c r="A393" s="20"/>
      <c r="B393" s="20"/>
      <c r="C393" s="20"/>
      <c r="D393" s="115"/>
      <c r="E393" s="115"/>
      <c r="F393" s="20"/>
      <c r="G393" s="21"/>
      <c r="H393" s="24" t="s">
        <v>663</v>
      </c>
      <c r="I393" s="24" t="s">
        <v>663</v>
      </c>
      <c r="J393" s="21"/>
      <c r="L393" s="21"/>
      <c r="N393" s="21"/>
    </row>
    <row r="394" spans="1:14" x14ac:dyDescent="0.25">
      <c r="A394" s="20"/>
      <c r="B394" s="20"/>
      <c r="C394" s="20"/>
      <c r="D394" s="115"/>
      <c r="E394" s="115"/>
      <c r="F394" s="20"/>
      <c r="G394" s="21"/>
      <c r="H394" s="24" t="s">
        <v>1211</v>
      </c>
      <c r="I394" s="24"/>
      <c r="J394" s="21"/>
      <c r="L394" s="21"/>
      <c r="N394" s="21"/>
    </row>
    <row r="395" spans="1:14" x14ac:dyDescent="0.25">
      <c r="A395" s="20"/>
      <c r="B395" s="20"/>
      <c r="C395" s="20"/>
      <c r="D395" s="115"/>
      <c r="E395" s="115"/>
      <c r="F395" s="20"/>
      <c r="G395" s="21"/>
      <c r="H395" s="24" t="s">
        <v>465</v>
      </c>
      <c r="I395" s="24" t="s">
        <v>465</v>
      </c>
      <c r="J395" s="21"/>
      <c r="L395" s="21"/>
      <c r="N395" s="21"/>
    </row>
    <row r="396" spans="1:14" x14ac:dyDescent="0.25">
      <c r="A396" s="20"/>
      <c r="B396" s="20"/>
      <c r="C396" s="20"/>
      <c r="D396" s="115"/>
      <c r="E396" s="115"/>
      <c r="F396" s="20"/>
      <c r="G396" s="21"/>
      <c r="H396" s="24" t="s">
        <v>1212</v>
      </c>
      <c r="I396" s="24"/>
      <c r="J396" s="21"/>
      <c r="L396" s="21"/>
      <c r="N396" s="21"/>
    </row>
    <row r="397" spans="1:14" x14ac:dyDescent="0.25">
      <c r="A397" s="20"/>
      <c r="B397" s="20"/>
      <c r="C397" s="20"/>
      <c r="D397" s="115"/>
      <c r="E397" s="115"/>
      <c r="F397" s="20"/>
      <c r="G397" s="21"/>
      <c r="H397" s="24" t="s">
        <v>262</v>
      </c>
      <c r="I397" s="24" t="s">
        <v>262</v>
      </c>
      <c r="J397" s="21"/>
      <c r="L397" s="21"/>
      <c r="N397" s="21"/>
    </row>
    <row r="398" spans="1:14" x14ac:dyDescent="0.25">
      <c r="A398" s="20"/>
      <c r="B398" s="20"/>
      <c r="C398" s="20"/>
      <c r="D398" s="115"/>
      <c r="E398" s="115"/>
      <c r="F398" s="20"/>
      <c r="G398" s="21"/>
      <c r="H398" s="24" t="s">
        <v>586</v>
      </c>
      <c r="I398" s="24" t="s">
        <v>586</v>
      </c>
      <c r="J398" s="21"/>
      <c r="L398" s="21"/>
      <c r="N398" s="21"/>
    </row>
    <row r="399" spans="1:14" x14ac:dyDescent="0.25">
      <c r="A399" s="20"/>
      <c r="B399" s="20"/>
      <c r="C399" s="20"/>
      <c r="D399" s="115"/>
      <c r="E399" s="115"/>
      <c r="F399" s="20"/>
      <c r="G399" s="21"/>
      <c r="H399" s="23" t="s">
        <v>1213</v>
      </c>
      <c r="I399" s="23"/>
      <c r="J399" s="21"/>
      <c r="L399" s="21"/>
      <c r="N399" s="21"/>
    </row>
    <row r="400" spans="1:14" x14ac:dyDescent="0.25">
      <c r="A400" s="20"/>
      <c r="B400" s="20"/>
      <c r="C400" s="20"/>
      <c r="D400" s="115"/>
      <c r="E400" s="115"/>
      <c r="F400" s="20"/>
      <c r="G400" s="21"/>
      <c r="H400" s="23" t="s">
        <v>1214</v>
      </c>
      <c r="I400" s="23"/>
      <c r="J400" s="21"/>
      <c r="L400" s="21"/>
      <c r="N400" s="21"/>
    </row>
    <row r="401" spans="1:14" x14ac:dyDescent="0.25">
      <c r="A401" s="20"/>
      <c r="B401" s="20"/>
      <c r="C401" s="20"/>
      <c r="D401" s="115"/>
      <c r="E401" s="115"/>
      <c r="F401" s="20"/>
      <c r="G401" s="21"/>
      <c r="H401" s="23" t="s">
        <v>1215</v>
      </c>
      <c r="I401" s="23"/>
      <c r="J401" s="21"/>
      <c r="L401" s="21"/>
      <c r="N401" s="21"/>
    </row>
    <row r="402" spans="1:14" x14ac:dyDescent="0.25">
      <c r="A402" s="20"/>
      <c r="B402" s="20"/>
      <c r="C402" s="20"/>
      <c r="D402" s="115"/>
      <c r="E402" s="115"/>
      <c r="F402" s="20"/>
      <c r="G402" s="21"/>
      <c r="H402" s="23" t="s">
        <v>1216</v>
      </c>
      <c r="I402" s="23"/>
      <c r="J402" s="21"/>
      <c r="L402" s="21"/>
      <c r="N402" s="21"/>
    </row>
    <row r="403" spans="1:14" x14ac:dyDescent="0.25">
      <c r="A403" s="20"/>
      <c r="B403" s="20"/>
      <c r="C403" s="20"/>
      <c r="D403" s="115"/>
      <c r="E403" s="115"/>
      <c r="F403" s="20"/>
      <c r="G403" s="21"/>
      <c r="H403" s="23" t="s">
        <v>1217</v>
      </c>
      <c r="I403" s="23"/>
      <c r="J403" s="21"/>
      <c r="L403" s="21"/>
      <c r="N403" s="21"/>
    </row>
    <row r="404" spans="1:14" x14ac:dyDescent="0.25">
      <c r="A404" s="20"/>
      <c r="B404" s="20"/>
      <c r="C404" s="20"/>
      <c r="D404" s="115"/>
      <c r="E404" s="115"/>
      <c r="F404" s="20"/>
      <c r="G404" s="21"/>
      <c r="H404" s="23" t="s">
        <v>1218</v>
      </c>
      <c r="I404" s="23"/>
      <c r="J404" s="21"/>
      <c r="L404" s="21"/>
      <c r="N404" s="21"/>
    </row>
    <row r="405" spans="1:14" x14ac:dyDescent="0.25">
      <c r="A405" s="20"/>
      <c r="B405" s="20"/>
      <c r="C405" s="20"/>
      <c r="D405" s="115"/>
      <c r="E405" s="115"/>
      <c r="F405" s="20"/>
      <c r="G405" s="21"/>
      <c r="H405" s="23" t="s">
        <v>1219</v>
      </c>
      <c r="I405" s="23"/>
      <c r="J405" s="21"/>
      <c r="L405" s="21"/>
      <c r="N405" s="21"/>
    </row>
    <row r="406" spans="1:14" x14ac:dyDescent="0.25">
      <c r="A406" s="20"/>
      <c r="B406" s="20"/>
      <c r="C406" s="20"/>
      <c r="D406" s="115"/>
      <c r="E406" s="115"/>
      <c r="F406" s="20"/>
      <c r="G406" s="21"/>
      <c r="H406" s="23" t="s">
        <v>1220</v>
      </c>
      <c r="I406" s="23"/>
      <c r="J406" s="21"/>
      <c r="L406" s="21"/>
      <c r="N406" s="21"/>
    </row>
    <row r="407" spans="1:14" x14ac:dyDescent="0.25">
      <c r="A407" s="20"/>
      <c r="B407" s="20"/>
      <c r="C407" s="20"/>
      <c r="D407" s="115"/>
      <c r="E407" s="115"/>
      <c r="F407" s="20"/>
      <c r="G407" s="21"/>
      <c r="H407" s="23" t="s">
        <v>1221</v>
      </c>
      <c r="I407" s="23"/>
      <c r="J407" s="21"/>
      <c r="L407" s="21"/>
      <c r="N407" s="21"/>
    </row>
    <row r="408" spans="1:14" x14ac:dyDescent="0.25">
      <c r="A408" s="20"/>
      <c r="B408" s="20"/>
      <c r="C408" s="20"/>
      <c r="D408" s="115"/>
      <c r="E408" s="115"/>
      <c r="F408" s="20"/>
      <c r="G408" s="21"/>
      <c r="H408" s="23" t="s">
        <v>1222</v>
      </c>
      <c r="I408" s="23"/>
      <c r="J408" s="21"/>
      <c r="L408" s="21"/>
      <c r="N408" s="21"/>
    </row>
    <row r="409" spans="1:14" x14ac:dyDescent="0.25">
      <c r="A409" s="20"/>
      <c r="B409" s="20"/>
      <c r="C409" s="20"/>
      <c r="D409" s="115"/>
      <c r="E409" s="115"/>
      <c r="F409" s="20"/>
      <c r="G409" s="21"/>
      <c r="H409" s="23" t="s">
        <v>1223</v>
      </c>
      <c r="I409" s="23"/>
      <c r="J409" s="21"/>
      <c r="L409" s="21"/>
      <c r="N409" s="21"/>
    </row>
    <row r="410" spans="1:14" x14ac:dyDescent="0.25">
      <c r="A410" s="20"/>
      <c r="B410" s="20"/>
      <c r="C410" s="20"/>
      <c r="D410" s="115"/>
      <c r="E410" s="115"/>
      <c r="F410" s="20"/>
      <c r="G410" s="21"/>
      <c r="H410" s="23" t="s">
        <v>1224</v>
      </c>
      <c r="I410" s="23"/>
      <c r="J410" s="21"/>
      <c r="L410" s="21"/>
      <c r="N410" s="21"/>
    </row>
    <row r="411" spans="1:14" x14ac:dyDescent="0.25">
      <c r="A411" s="20"/>
      <c r="B411" s="20"/>
      <c r="C411" s="20"/>
      <c r="D411" s="115"/>
      <c r="E411" s="115"/>
      <c r="F411" s="20"/>
      <c r="G411" s="21"/>
      <c r="H411" s="23" t="s">
        <v>1225</v>
      </c>
      <c r="I411" s="23"/>
      <c r="J411" s="21"/>
      <c r="L411" s="21"/>
      <c r="N411" s="21"/>
    </row>
    <row r="412" spans="1:14" x14ac:dyDescent="0.25">
      <c r="A412" s="20"/>
      <c r="B412" s="20"/>
      <c r="C412" s="20"/>
      <c r="D412" s="115"/>
      <c r="E412" s="115"/>
      <c r="F412" s="20"/>
      <c r="G412" s="21"/>
      <c r="H412" s="23" t="s">
        <v>1226</v>
      </c>
      <c r="I412" s="23"/>
      <c r="J412" s="21"/>
      <c r="L412" s="21"/>
      <c r="N412" s="21"/>
    </row>
    <row r="413" spans="1:14" x14ac:dyDescent="0.25">
      <c r="A413" s="20"/>
      <c r="B413" s="20"/>
      <c r="C413" s="20"/>
      <c r="D413" s="115"/>
      <c r="E413" s="115"/>
      <c r="F413" s="20"/>
      <c r="G413" s="21"/>
      <c r="H413" s="23" t="s">
        <v>1227</v>
      </c>
      <c r="I413" s="23"/>
      <c r="J413" s="21"/>
      <c r="L413" s="21"/>
      <c r="N413" s="21"/>
    </row>
    <row r="414" spans="1:14" x14ac:dyDescent="0.25">
      <c r="A414" s="20"/>
      <c r="B414" s="20"/>
      <c r="C414" s="20"/>
      <c r="D414" s="115"/>
      <c r="E414" s="115"/>
      <c r="F414" s="20"/>
      <c r="G414" s="21"/>
      <c r="H414" s="23" t="s">
        <v>1228</v>
      </c>
      <c r="I414" s="23"/>
      <c r="J414" s="21"/>
      <c r="L414" s="21"/>
      <c r="N414" s="21"/>
    </row>
    <row r="415" spans="1:14" x14ac:dyDescent="0.25">
      <c r="A415" s="20"/>
      <c r="B415" s="20"/>
      <c r="C415" s="20"/>
      <c r="D415" s="115"/>
      <c r="E415" s="115"/>
      <c r="F415" s="20"/>
      <c r="G415" s="21"/>
      <c r="H415" s="23" t="s">
        <v>1224</v>
      </c>
      <c r="I415" s="23"/>
      <c r="J415" s="21"/>
      <c r="L415" s="21"/>
      <c r="N415" s="21"/>
    </row>
    <row r="416" spans="1:14" x14ac:dyDescent="0.25">
      <c r="A416" s="20"/>
      <c r="B416" s="20"/>
      <c r="C416" s="20"/>
      <c r="D416" s="115"/>
      <c r="E416" s="115"/>
      <c r="F416" s="20"/>
      <c r="G416" s="21"/>
      <c r="H416" s="23" t="s">
        <v>1229</v>
      </c>
      <c r="I416" s="23"/>
      <c r="J416" s="21"/>
      <c r="L416" s="21"/>
      <c r="N416" s="21"/>
    </row>
    <row r="417" spans="1:14" x14ac:dyDescent="0.25">
      <c r="A417" s="20"/>
      <c r="B417" s="20"/>
      <c r="C417" s="20"/>
      <c r="D417" s="115"/>
      <c r="E417" s="115"/>
      <c r="F417" s="20"/>
      <c r="G417" s="21"/>
      <c r="H417" s="23" t="s">
        <v>1230</v>
      </c>
      <c r="I417" s="23"/>
      <c r="J417" s="21"/>
      <c r="L417" s="21"/>
      <c r="N417" s="21"/>
    </row>
    <row r="418" spans="1:14" x14ac:dyDescent="0.25">
      <c r="A418" s="20"/>
      <c r="B418" s="20"/>
      <c r="C418" s="20"/>
      <c r="D418" s="115"/>
      <c r="E418" s="115"/>
      <c r="F418" s="20"/>
      <c r="G418" s="21"/>
      <c r="H418" s="23" t="s">
        <v>1231</v>
      </c>
      <c r="I418" s="23"/>
      <c r="J418" s="21"/>
      <c r="L418" s="21"/>
      <c r="N418" s="21"/>
    </row>
    <row r="419" spans="1:14" x14ac:dyDescent="0.25">
      <c r="A419" s="20"/>
      <c r="B419" s="20"/>
      <c r="C419" s="20"/>
      <c r="D419" s="115"/>
      <c r="E419" s="115"/>
      <c r="F419" s="20"/>
      <c r="G419" s="21"/>
      <c r="H419" s="23" t="s">
        <v>1232</v>
      </c>
      <c r="I419" s="23"/>
      <c r="J419" s="21"/>
      <c r="L419" s="21"/>
      <c r="N419" s="21"/>
    </row>
    <row r="420" spans="1:14" x14ac:dyDescent="0.25">
      <c r="A420" s="20"/>
      <c r="B420" s="20"/>
      <c r="C420" s="20"/>
      <c r="D420" s="115"/>
      <c r="E420" s="115"/>
      <c r="F420" s="20"/>
      <c r="G420" s="21"/>
      <c r="H420" s="23" t="s">
        <v>524</v>
      </c>
      <c r="I420" s="23"/>
      <c r="J420" s="21"/>
      <c r="L420" s="21"/>
      <c r="N420" s="21"/>
    </row>
    <row r="421" spans="1:14" x14ac:dyDescent="0.25">
      <c r="A421" s="20"/>
      <c r="B421" s="20"/>
      <c r="C421" s="20"/>
      <c r="D421" s="115"/>
      <c r="E421" s="115"/>
      <c r="F421" s="20"/>
      <c r="G421" s="21"/>
      <c r="H421" s="23" t="s">
        <v>1233</v>
      </c>
      <c r="I421" s="23"/>
      <c r="J421" s="21"/>
      <c r="L421" s="21"/>
      <c r="N421" s="21"/>
    </row>
    <row r="422" spans="1:14" x14ac:dyDescent="0.25">
      <c r="A422" s="20"/>
      <c r="B422" s="20"/>
      <c r="C422" s="20"/>
      <c r="D422" s="115"/>
      <c r="E422" s="115"/>
      <c r="F422" s="20"/>
      <c r="G422" s="21"/>
      <c r="H422" s="23" t="s">
        <v>402</v>
      </c>
      <c r="I422" s="23"/>
      <c r="J422" s="21"/>
      <c r="L422" s="21"/>
      <c r="N422" s="21"/>
    </row>
    <row r="423" spans="1:14" x14ac:dyDescent="0.25">
      <c r="A423" s="20"/>
      <c r="B423" s="20"/>
      <c r="C423" s="20"/>
      <c r="D423" s="115"/>
      <c r="E423" s="115"/>
      <c r="F423" s="20"/>
      <c r="G423" s="21"/>
      <c r="H423" s="23" t="s">
        <v>1234</v>
      </c>
      <c r="I423" s="23"/>
      <c r="J423" s="21"/>
      <c r="L423" s="21"/>
      <c r="N423" s="21"/>
    </row>
    <row r="424" spans="1:14" x14ac:dyDescent="0.25">
      <c r="A424" s="20"/>
      <c r="B424" s="20"/>
      <c r="C424" s="20"/>
      <c r="D424" s="115"/>
      <c r="E424" s="115"/>
      <c r="F424" s="20"/>
      <c r="G424" s="21"/>
      <c r="H424" s="23" t="s">
        <v>1235</v>
      </c>
      <c r="I424" s="23"/>
      <c r="J424" s="21"/>
      <c r="L424" s="21"/>
      <c r="N424" s="21"/>
    </row>
    <row r="425" spans="1:14" x14ac:dyDescent="0.25">
      <c r="A425" s="20"/>
      <c r="B425" s="20"/>
      <c r="C425" s="20"/>
      <c r="D425" s="115"/>
      <c r="E425" s="115"/>
      <c r="F425" s="20"/>
      <c r="G425" s="21"/>
      <c r="H425" s="23" t="s">
        <v>1236</v>
      </c>
      <c r="I425" s="23"/>
      <c r="J425" s="21"/>
      <c r="L425" s="21"/>
      <c r="N425" s="21"/>
    </row>
    <row r="426" spans="1:14" x14ac:dyDescent="0.25">
      <c r="A426" s="20"/>
      <c r="B426" s="20"/>
      <c r="C426" s="20"/>
      <c r="D426" s="115"/>
      <c r="E426" s="115"/>
      <c r="F426" s="20"/>
      <c r="G426" s="21"/>
      <c r="H426" s="23" t="s">
        <v>1237</v>
      </c>
      <c r="I426" s="23"/>
      <c r="J426" s="21"/>
      <c r="L426" s="21"/>
      <c r="N426" s="21"/>
    </row>
  </sheetData>
  <autoFilter ref="A1:I55" xr:uid="{346EDDAC-FB7B-409D-A783-ABF33D2E0E77}"/>
  <mergeCells count="366">
    <mergeCell ref="D61:E61"/>
    <mergeCell ref="D62:E62"/>
    <mergeCell ref="D63:E63"/>
    <mergeCell ref="D64:E64"/>
    <mergeCell ref="D65:E65"/>
    <mergeCell ref="D66:E66"/>
    <mergeCell ref="D73:E73"/>
    <mergeCell ref="D74:E74"/>
    <mergeCell ref="D75:E75"/>
    <mergeCell ref="D76:E76"/>
    <mergeCell ref="D77:E77"/>
    <mergeCell ref="D78:E78"/>
    <mergeCell ref="D67:E67"/>
    <mergeCell ref="D68:E68"/>
    <mergeCell ref="D69:E69"/>
    <mergeCell ref="D70:E70"/>
    <mergeCell ref="D71:E71"/>
    <mergeCell ref="D72:E72"/>
    <mergeCell ref="D85:E85"/>
    <mergeCell ref="D86:E86"/>
    <mergeCell ref="D87:E87"/>
    <mergeCell ref="D88:E88"/>
    <mergeCell ref="D89:E89"/>
    <mergeCell ref="D90:E90"/>
    <mergeCell ref="D79:E79"/>
    <mergeCell ref="D80:E80"/>
    <mergeCell ref="D81:E81"/>
    <mergeCell ref="D82:E82"/>
    <mergeCell ref="D83:E83"/>
    <mergeCell ref="D84:E84"/>
    <mergeCell ref="D97:E97"/>
    <mergeCell ref="D98:E98"/>
    <mergeCell ref="D99:E99"/>
    <mergeCell ref="D100:E100"/>
    <mergeCell ref="D101:E101"/>
    <mergeCell ref="D102:E102"/>
    <mergeCell ref="D91:E91"/>
    <mergeCell ref="D92:E92"/>
    <mergeCell ref="D93:E93"/>
    <mergeCell ref="D94:E94"/>
    <mergeCell ref="D95:E95"/>
    <mergeCell ref="D96:E96"/>
    <mergeCell ref="D109:E109"/>
    <mergeCell ref="D110:E110"/>
    <mergeCell ref="D111:E111"/>
    <mergeCell ref="D112:E112"/>
    <mergeCell ref="D113:E113"/>
    <mergeCell ref="D114:E114"/>
    <mergeCell ref="D103:E103"/>
    <mergeCell ref="D104:E104"/>
    <mergeCell ref="D105:E105"/>
    <mergeCell ref="D106:E106"/>
    <mergeCell ref="D107:E107"/>
    <mergeCell ref="D108:E108"/>
    <mergeCell ref="D121:E121"/>
    <mergeCell ref="D122:E122"/>
    <mergeCell ref="D123:E123"/>
    <mergeCell ref="D124:E124"/>
    <mergeCell ref="D125:E125"/>
    <mergeCell ref="D126:E126"/>
    <mergeCell ref="D115:E115"/>
    <mergeCell ref="D116:E116"/>
    <mergeCell ref="D117:E117"/>
    <mergeCell ref="D118:E118"/>
    <mergeCell ref="D119:E119"/>
    <mergeCell ref="D120:E120"/>
    <mergeCell ref="D133:E133"/>
    <mergeCell ref="D134:E134"/>
    <mergeCell ref="D135:E135"/>
    <mergeCell ref="D136:E136"/>
    <mergeCell ref="D137:E137"/>
    <mergeCell ref="D138:E138"/>
    <mergeCell ref="D127:E127"/>
    <mergeCell ref="D128:E128"/>
    <mergeCell ref="D129:E129"/>
    <mergeCell ref="D130:E130"/>
    <mergeCell ref="D131:E131"/>
    <mergeCell ref="D132:E132"/>
    <mergeCell ref="D145:E145"/>
    <mergeCell ref="D146:E146"/>
    <mergeCell ref="D147:E147"/>
    <mergeCell ref="D148:E148"/>
    <mergeCell ref="D149:E149"/>
    <mergeCell ref="D150:E150"/>
    <mergeCell ref="D139:E139"/>
    <mergeCell ref="D140:E140"/>
    <mergeCell ref="D141:E141"/>
    <mergeCell ref="D142:E142"/>
    <mergeCell ref="D143:E143"/>
    <mergeCell ref="D144:E144"/>
    <mergeCell ref="D157:E157"/>
    <mergeCell ref="D158:E158"/>
    <mergeCell ref="D159:E159"/>
    <mergeCell ref="D160:E160"/>
    <mergeCell ref="D161:E161"/>
    <mergeCell ref="D162:E162"/>
    <mergeCell ref="D151:E151"/>
    <mergeCell ref="D152:E152"/>
    <mergeCell ref="D153:E153"/>
    <mergeCell ref="D154:E154"/>
    <mergeCell ref="D155:E155"/>
    <mergeCell ref="D156:E156"/>
    <mergeCell ref="D169:E169"/>
    <mergeCell ref="D170:E170"/>
    <mergeCell ref="D171:E171"/>
    <mergeCell ref="D172:E172"/>
    <mergeCell ref="D173:E173"/>
    <mergeCell ref="D174:E174"/>
    <mergeCell ref="D163:E163"/>
    <mergeCell ref="D164:E164"/>
    <mergeCell ref="D165:E165"/>
    <mergeCell ref="D166:E166"/>
    <mergeCell ref="D167:E167"/>
    <mergeCell ref="D168:E168"/>
    <mergeCell ref="D181:E181"/>
    <mergeCell ref="D182:E182"/>
    <mergeCell ref="D183:E183"/>
    <mergeCell ref="D184:E184"/>
    <mergeCell ref="D185:E185"/>
    <mergeCell ref="D186:E186"/>
    <mergeCell ref="D175:E175"/>
    <mergeCell ref="D176:E176"/>
    <mergeCell ref="D177:E177"/>
    <mergeCell ref="D178:E178"/>
    <mergeCell ref="D179:E179"/>
    <mergeCell ref="D180:E180"/>
    <mergeCell ref="D193:E193"/>
    <mergeCell ref="D194:E194"/>
    <mergeCell ref="D195:E195"/>
    <mergeCell ref="D196:E196"/>
    <mergeCell ref="D197:E197"/>
    <mergeCell ref="D198:E198"/>
    <mergeCell ref="D187:E187"/>
    <mergeCell ref="D188:E188"/>
    <mergeCell ref="D189:E189"/>
    <mergeCell ref="D190:E190"/>
    <mergeCell ref="D191:E191"/>
    <mergeCell ref="D192:E192"/>
    <mergeCell ref="D205:E205"/>
    <mergeCell ref="D206:E206"/>
    <mergeCell ref="D207:E207"/>
    <mergeCell ref="D208:E208"/>
    <mergeCell ref="D209:E209"/>
    <mergeCell ref="D210:E210"/>
    <mergeCell ref="D199:E199"/>
    <mergeCell ref="D200:E200"/>
    <mergeCell ref="D201:E201"/>
    <mergeCell ref="D202:E202"/>
    <mergeCell ref="D203:E203"/>
    <mergeCell ref="D204:E204"/>
    <mergeCell ref="D217:E217"/>
    <mergeCell ref="D218:E218"/>
    <mergeCell ref="D219:E219"/>
    <mergeCell ref="D220:E220"/>
    <mergeCell ref="D221:E221"/>
    <mergeCell ref="D222:E222"/>
    <mergeCell ref="D211:E211"/>
    <mergeCell ref="D212:E212"/>
    <mergeCell ref="D213:E213"/>
    <mergeCell ref="D214:E214"/>
    <mergeCell ref="D215:E215"/>
    <mergeCell ref="D216:E216"/>
    <mergeCell ref="D229:E229"/>
    <mergeCell ref="D230:E230"/>
    <mergeCell ref="D231:E231"/>
    <mergeCell ref="D232:E232"/>
    <mergeCell ref="D233:E233"/>
    <mergeCell ref="D234:E234"/>
    <mergeCell ref="D223:E223"/>
    <mergeCell ref="D224:E224"/>
    <mergeCell ref="D225:E225"/>
    <mergeCell ref="D226:E226"/>
    <mergeCell ref="D227:E227"/>
    <mergeCell ref="D228:E228"/>
    <mergeCell ref="D241:E241"/>
    <mergeCell ref="D242:E242"/>
    <mergeCell ref="D243:E243"/>
    <mergeCell ref="D244:E244"/>
    <mergeCell ref="D245:E245"/>
    <mergeCell ref="D246:E246"/>
    <mergeCell ref="D235:E235"/>
    <mergeCell ref="D236:E236"/>
    <mergeCell ref="D237:E237"/>
    <mergeCell ref="D238:E238"/>
    <mergeCell ref="D239:E239"/>
    <mergeCell ref="D240:E240"/>
    <mergeCell ref="D253:E253"/>
    <mergeCell ref="D254:E254"/>
    <mergeCell ref="D255:E255"/>
    <mergeCell ref="D256:E256"/>
    <mergeCell ref="D257:E257"/>
    <mergeCell ref="D258:E258"/>
    <mergeCell ref="D247:E247"/>
    <mergeCell ref="D248:E248"/>
    <mergeCell ref="D249:E249"/>
    <mergeCell ref="D250:E250"/>
    <mergeCell ref="D251:E251"/>
    <mergeCell ref="D252:E252"/>
    <mergeCell ref="D265:E265"/>
    <mergeCell ref="D266:E266"/>
    <mergeCell ref="D267:E267"/>
    <mergeCell ref="D268:E268"/>
    <mergeCell ref="D269:E269"/>
    <mergeCell ref="D270:E270"/>
    <mergeCell ref="D259:E259"/>
    <mergeCell ref="D260:E260"/>
    <mergeCell ref="D261:E261"/>
    <mergeCell ref="D262:E262"/>
    <mergeCell ref="D263:E263"/>
    <mergeCell ref="D264:E264"/>
    <mergeCell ref="D277:E277"/>
    <mergeCell ref="D278:E278"/>
    <mergeCell ref="D279:E279"/>
    <mergeCell ref="D280:E280"/>
    <mergeCell ref="D281:E281"/>
    <mergeCell ref="D282:E282"/>
    <mergeCell ref="D271:E271"/>
    <mergeCell ref="D272:E272"/>
    <mergeCell ref="D273:E273"/>
    <mergeCell ref="D274:E274"/>
    <mergeCell ref="D275:E275"/>
    <mergeCell ref="D276:E276"/>
    <mergeCell ref="D289:E289"/>
    <mergeCell ref="D290:E290"/>
    <mergeCell ref="D291:E291"/>
    <mergeCell ref="D292:E292"/>
    <mergeCell ref="D293:E293"/>
    <mergeCell ref="D294:E294"/>
    <mergeCell ref="D283:E283"/>
    <mergeCell ref="D284:E284"/>
    <mergeCell ref="D285:E285"/>
    <mergeCell ref="D286:E286"/>
    <mergeCell ref="D287:E287"/>
    <mergeCell ref="D288:E288"/>
    <mergeCell ref="D301:E301"/>
    <mergeCell ref="D302:E302"/>
    <mergeCell ref="D303:E303"/>
    <mergeCell ref="D304:E304"/>
    <mergeCell ref="D305:E305"/>
    <mergeCell ref="D306:E306"/>
    <mergeCell ref="D295:E295"/>
    <mergeCell ref="D296:E296"/>
    <mergeCell ref="D297:E297"/>
    <mergeCell ref="D298:E298"/>
    <mergeCell ref="D299:E299"/>
    <mergeCell ref="D300:E300"/>
    <mergeCell ref="D313:E313"/>
    <mergeCell ref="D314:E314"/>
    <mergeCell ref="D315:E315"/>
    <mergeCell ref="D316:E316"/>
    <mergeCell ref="D317:E317"/>
    <mergeCell ref="D318:E318"/>
    <mergeCell ref="D307:E307"/>
    <mergeCell ref="D308:E308"/>
    <mergeCell ref="D309:E309"/>
    <mergeCell ref="D310:E310"/>
    <mergeCell ref="D311:E311"/>
    <mergeCell ref="D312:E312"/>
    <mergeCell ref="D325:E325"/>
    <mergeCell ref="D326:E326"/>
    <mergeCell ref="D327:E327"/>
    <mergeCell ref="D328:E328"/>
    <mergeCell ref="D329:E329"/>
    <mergeCell ref="D330:E330"/>
    <mergeCell ref="D319:E319"/>
    <mergeCell ref="D320:E320"/>
    <mergeCell ref="D321:E321"/>
    <mergeCell ref="D322:E322"/>
    <mergeCell ref="D323:E323"/>
    <mergeCell ref="D324:E324"/>
    <mergeCell ref="D337:E337"/>
    <mergeCell ref="D338:E338"/>
    <mergeCell ref="D339:E339"/>
    <mergeCell ref="D340:E340"/>
    <mergeCell ref="D341:E341"/>
    <mergeCell ref="D342:E342"/>
    <mergeCell ref="D331:E331"/>
    <mergeCell ref="D332:E332"/>
    <mergeCell ref="D333:E333"/>
    <mergeCell ref="D334:E334"/>
    <mergeCell ref="D335:E335"/>
    <mergeCell ref="D336:E336"/>
    <mergeCell ref="D349:E349"/>
    <mergeCell ref="D350:E350"/>
    <mergeCell ref="D351:E351"/>
    <mergeCell ref="D352:E352"/>
    <mergeCell ref="D353:E353"/>
    <mergeCell ref="D354:E354"/>
    <mergeCell ref="D343:E343"/>
    <mergeCell ref="D344:E344"/>
    <mergeCell ref="D345:E345"/>
    <mergeCell ref="D346:E346"/>
    <mergeCell ref="D347:E347"/>
    <mergeCell ref="D348:E348"/>
    <mergeCell ref="D361:E361"/>
    <mergeCell ref="D362:E362"/>
    <mergeCell ref="D363:E363"/>
    <mergeCell ref="D364:E364"/>
    <mergeCell ref="D365:E365"/>
    <mergeCell ref="D366:E366"/>
    <mergeCell ref="D355:E355"/>
    <mergeCell ref="D356:E356"/>
    <mergeCell ref="D357:E357"/>
    <mergeCell ref="D358:E358"/>
    <mergeCell ref="D359:E359"/>
    <mergeCell ref="D360:E360"/>
    <mergeCell ref="D373:E373"/>
    <mergeCell ref="D374:E374"/>
    <mergeCell ref="D375:E375"/>
    <mergeCell ref="D376:E376"/>
    <mergeCell ref="D377:E377"/>
    <mergeCell ref="D378:E378"/>
    <mergeCell ref="D367:E367"/>
    <mergeCell ref="D368:E368"/>
    <mergeCell ref="D369:E369"/>
    <mergeCell ref="D370:E370"/>
    <mergeCell ref="D371:E371"/>
    <mergeCell ref="D372:E372"/>
    <mergeCell ref="D385:E385"/>
    <mergeCell ref="D386:E386"/>
    <mergeCell ref="D387:E387"/>
    <mergeCell ref="D388:E388"/>
    <mergeCell ref="D389:E389"/>
    <mergeCell ref="D390:E390"/>
    <mergeCell ref="D379:E379"/>
    <mergeCell ref="D380:E380"/>
    <mergeCell ref="D381:E381"/>
    <mergeCell ref="D382:E382"/>
    <mergeCell ref="D383:E383"/>
    <mergeCell ref="D384:E384"/>
    <mergeCell ref="D397:E397"/>
    <mergeCell ref="D398:E398"/>
    <mergeCell ref="D399:E399"/>
    <mergeCell ref="D400:E400"/>
    <mergeCell ref="D401:E401"/>
    <mergeCell ref="D402:E402"/>
    <mergeCell ref="D391:E391"/>
    <mergeCell ref="D392:E392"/>
    <mergeCell ref="D393:E393"/>
    <mergeCell ref="D394:E394"/>
    <mergeCell ref="D395:E395"/>
    <mergeCell ref="D396:E396"/>
    <mergeCell ref="D409:E409"/>
    <mergeCell ref="D410:E410"/>
    <mergeCell ref="D411:E411"/>
    <mergeCell ref="D412:E412"/>
    <mergeCell ref="D413:E413"/>
    <mergeCell ref="D414:E414"/>
    <mergeCell ref="D403:E403"/>
    <mergeCell ref="D404:E404"/>
    <mergeCell ref="D405:E405"/>
    <mergeCell ref="D406:E406"/>
    <mergeCell ref="D407:E407"/>
    <mergeCell ref="D408:E408"/>
    <mergeCell ref="D421:E421"/>
    <mergeCell ref="D422:E422"/>
    <mergeCell ref="D423:E423"/>
    <mergeCell ref="D424:E424"/>
    <mergeCell ref="D425:E425"/>
    <mergeCell ref="D426:E426"/>
    <mergeCell ref="D415:E415"/>
    <mergeCell ref="D416:E416"/>
    <mergeCell ref="D417:E417"/>
    <mergeCell ref="D418:E418"/>
    <mergeCell ref="D419:E419"/>
    <mergeCell ref="D420:E4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D2E3-4C8A-4792-93E5-BE2B400C0851}">
  <sheetPr>
    <tabColor theme="3" tint="0.749992370372631"/>
  </sheetPr>
  <dimension ref="A1:AM4"/>
  <sheetViews>
    <sheetView showGridLines="0" topLeftCell="B1" workbookViewId="0">
      <pane ySplit="2" topLeftCell="A3" activePane="bottomLeft" state="frozen"/>
      <selection pane="bottomLeft" activeCell="F8" sqref="F8"/>
    </sheetView>
  </sheetViews>
  <sheetFormatPr defaultRowHeight="11.25" x14ac:dyDescent="0.2"/>
  <cols>
    <col min="1" max="1" width="9.140625" style="2"/>
    <col min="2" max="2" width="19.85546875" style="2" bestFit="1" customWidth="1"/>
    <col min="3" max="3" width="6.7109375" style="2" bestFit="1" customWidth="1"/>
    <col min="4" max="5" width="19.85546875" style="2" customWidth="1"/>
    <col min="6" max="6" width="13.85546875" style="2" customWidth="1"/>
    <col min="7" max="7" width="11.42578125" style="2" customWidth="1"/>
    <col min="8" max="23" width="18.5703125" style="2" customWidth="1"/>
    <col min="24" max="26" width="11.28515625" style="2" customWidth="1"/>
    <col min="27" max="27" width="9.42578125" style="2" customWidth="1"/>
    <col min="28" max="33" width="11.28515625" style="2" customWidth="1"/>
    <col min="34" max="34" width="28.140625" style="2" customWidth="1"/>
    <col min="35" max="35" width="17.5703125" style="2" customWidth="1"/>
    <col min="36" max="36" width="10.7109375" style="2" customWidth="1"/>
    <col min="37" max="37" width="9.28515625" style="2" customWidth="1"/>
    <col min="38" max="38" width="11" style="2" customWidth="1"/>
    <col min="39" max="39" width="88.140625" style="69" customWidth="1"/>
    <col min="40" max="16384" width="9.140625" style="2"/>
  </cols>
  <sheetData>
    <row r="1" spans="1:39" s="10" customFormat="1" ht="15" customHeight="1" x14ac:dyDescent="0.25">
      <c r="A1" s="6" t="s">
        <v>1267</v>
      </c>
      <c r="B1" s="6" t="s">
        <v>0</v>
      </c>
      <c r="C1" s="6"/>
      <c r="D1" s="6"/>
      <c r="E1" s="6"/>
      <c r="F1" s="109" t="s">
        <v>1</v>
      </c>
      <c r="G1" s="109"/>
      <c r="H1" s="106" t="s">
        <v>115</v>
      </c>
      <c r="I1" s="107"/>
      <c r="J1" s="107"/>
      <c r="K1" s="107"/>
      <c r="L1" s="107"/>
      <c r="M1" s="107"/>
      <c r="N1" s="107"/>
      <c r="O1" s="107"/>
      <c r="P1" s="107"/>
      <c r="Q1" s="107"/>
      <c r="R1" s="107"/>
      <c r="S1" s="107"/>
      <c r="T1" s="107"/>
      <c r="U1" s="107"/>
      <c r="V1" s="107"/>
      <c r="W1" s="107"/>
      <c r="X1" s="109" t="s">
        <v>116</v>
      </c>
      <c r="Y1" s="109"/>
      <c r="Z1" s="109"/>
      <c r="AA1" s="109"/>
      <c r="AB1" s="109"/>
      <c r="AC1" s="106" t="s">
        <v>117</v>
      </c>
      <c r="AD1" s="107"/>
      <c r="AE1" s="107"/>
      <c r="AF1" s="107"/>
      <c r="AG1" s="107"/>
      <c r="AH1" s="107"/>
      <c r="AI1" s="107"/>
      <c r="AJ1" s="107"/>
      <c r="AK1" s="107"/>
      <c r="AL1" s="107"/>
      <c r="AM1" s="108"/>
    </row>
    <row r="2" spans="1:39" ht="80.25" customHeight="1" x14ac:dyDescent="0.2">
      <c r="A2" s="1" t="s">
        <v>1374</v>
      </c>
      <c r="B2" s="70" t="s">
        <v>5</v>
      </c>
      <c r="C2" s="70" t="s">
        <v>245</v>
      </c>
      <c r="D2" s="70" t="s">
        <v>1362</v>
      </c>
      <c r="E2" s="70" t="s">
        <v>1365</v>
      </c>
      <c r="F2" s="70" t="s">
        <v>6</v>
      </c>
      <c r="G2" s="70" t="s">
        <v>7</v>
      </c>
      <c r="H2" s="72" t="s">
        <v>118</v>
      </c>
      <c r="I2" s="72" t="s">
        <v>119</v>
      </c>
      <c r="J2" s="85" t="s">
        <v>1334</v>
      </c>
      <c r="K2" s="85" t="s">
        <v>1335</v>
      </c>
      <c r="L2" s="85" t="s">
        <v>1342</v>
      </c>
      <c r="M2" s="85" t="s">
        <v>1343</v>
      </c>
      <c r="N2" s="72" t="s">
        <v>120</v>
      </c>
      <c r="O2" s="72" t="s">
        <v>121</v>
      </c>
      <c r="P2" s="71" t="s">
        <v>14</v>
      </c>
      <c r="Q2" s="71" t="s">
        <v>15</v>
      </c>
      <c r="R2" s="71" t="s">
        <v>16</v>
      </c>
      <c r="S2" s="71" t="s">
        <v>17</v>
      </c>
      <c r="T2" s="71" t="s">
        <v>18</v>
      </c>
      <c r="U2" s="71" t="s">
        <v>19</v>
      </c>
      <c r="V2" s="71" t="s">
        <v>20</v>
      </c>
      <c r="W2" s="71" t="s">
        <v>21</v>
      </c>
      <c r="X2" s="72" t="s">
        <v>122</v>
      </c>
      <c r="Y2" s="72" t="s">
        <v>123</v>
      </c>
      <c r="Z2" s="72" t="s">
        <v>124</v>
      </c>
      <c r="AA2" s="72" t="s">
        <v>125</v>
      </c>
      <c r="AB2" s="72" t="s">
        <v>126</v>
      </c>
      <c r="AC2" s="70" t="s">
        <v>1260</v>
      </c>
      <c r="AD2" s="70" t="s">
        <v>1261</v>
      </c>
      <c r="AE2" s="70" t="s">
        <v>1262</v>
      </c>
      <c r="AF2" s="70" t="s">
        <v>1263</v>
      </c>
      <c r="AG2" s="70" t="s">
        <v>1264</v>
      </c>
      <c r="AH2" s="70" t="s">
        <v>127</v>
      </c>
      <c r="AI2" s="70" t="s">
        <v>128</v>
      </c>
      <c r="AJ2" s="70" t="s">
        <v>129</v>
      </c>
      <c r="AK2" s="70" t="s">
        <v>1330</v>
      </c>
      <c r="AL2" s="70" t="s">
        <v>130</v>
      </c>
      <c r="AM2" s="70" t="s">
        <v>131</v>
      </c>
    </row>
    <row r="3" spans="1:39" s="65" customFormat="1" x14ac:dyDescent="0.25">
      <c r="A3" s="78" t="s">
        <v>1372</v>
      </c>
      <c r="B3" s="78" t="s">
        <v>410</v>
      </c>
      <c r="C3" s="78">
        <v>2026</v>
      </c>
      <c r="D3" s="78" t="s">
        <v>1363</v>
      </c>
      <c r="E3" s="78" t="s">
        <v>1366</v>
      </c>
      <c r="F3" s="78" t="s">
        <v>66</v>
      </c>
      <c r="G3" s="78" t="s">
        <v>30</v>
      </c>
      <c r="H3" s="78" t="s">
        <v>132</v>
      </c>
      <c r="I3" s="78" t="s">
        <v>132</v>
      </c>
      <c r="J3" s="78" t="s">
        <v>132</v>
      </c>
      <c r="K3" s="78" t="s">
        <v>132</v>
      </c>
      <c r="L3" s="78" t="s">
        <v>132</v>
      </c>
      <c r="M3" s="78" t="s">
        <v>139</v>
      </c>
      <c r="N3" s="78" t="s">
        <v>132</v>
      </c>
      <c r="O3" s="78" t="s">
        <v>132</v>
      </c>
      <c r="P3" s="78" t="s">
        <v>1296</v>
      </c>
      <c r="Q3" s="78" t="s">
        <v>1296</v>
      </c>
      <c r="R3" s="78" t="s">
        <v>1296</v>
      </c>
      <c r="S3" s="78" t="s">
        <v>1296</v>
      </c>
      <c r="T3" s="78" t="s">
        <v>1296</v>
      </c>
      <c r="U3" s="78" t="s">
        <v>1296</v>
      </c>
      <c r="V3" s="78" t="s">
        <v>132</v>
      </c>
      <c r="W3" s="78" t="s">
        <v>132</v>
      </c>
      <c r="X3" s="78" t="s">
        <v>134</v>
      </c>
      <c r="Y3" s="78" t="s">
        <v>134</v>
      </c>
      <c r="Z3" s="79" t="s">
        <v>135</v>
      </c>
      <c r="AA3" s="78" t="s">
        <v>134</v>
      </c>
      <c r="AB3" s="78" t="s">
        <v>135</v>
      </c>
      <c r="AC3" s="78" t="s">
        <v>1301</v>
      </c>
      <c r="AD3" s="84" t="s">
        <v>1291</v>
      </c>
      <c r="AE3" s="78" t="s">
        <v>1290</v>
      </c>
      <c r="AF3" s="78" t="s">
        <v>1290</v>
      </c>
      <c r="AG3" s="78" t="s">
        <v>135</v>
      </c>
      <c r="AH3" s="78" t="s">
        <v>134</v>
      </c>
      <c r="AI3" s="78" t="s">
        <v>135</v>
      </c>
      <c r="AJ3" s="78">
        <v>3</v>
      </c>
      <c r="AK3" s="78" t="s">
        <v>134</v>
      </c>
      <c r="AL3" s="78" t="s">
        <v>134</v>
      </c>
      <c r="AM3" s="79" t="s">
        <v>136</v>
      </c>
    </row>
    <row r="4" spans="1:39" s="65" customFormat="1" ht="22.5" x14ac:dyDescent="0.25">
      <c r="A4" s="78" t="s">
        <v>1373</v>
      </c>
      <c r="B4" s="78" t="s">
        <v>35</v>
      </c>
      <c r="C4" s="78">
        <v>2026</v>
      </c>
      <c r="D4" s="78" t="s">
        <v>1364</v>
      </c>
      <c r="E4" s="78" t="s">
        <v>1367</v>
      </c>
      <c r="F4" s="78" t="s">
        <v>1375</v>
      </c>
      <c r="G4" s="78" t="s">
        <v>1376</v>
      </c>
      <c r="H4" s="78" t="s">
        <v>137</v>
      </c>
      <c r="I4" s="78" t="s">
        <v>137</v>
      </c>
      <c r="J4" s="78" t="s">
        <v>1338</v>
      </c>
      <c r="K4" s="78" t="s">
        <v>1339</v>
      </c>
      <c r="L4" s="78" t="s">
        <v>137</v>
      </c>
      <c r="M4" s="78"/>
      <c r="N4" s="78" t="s">
        <v>137</v>
      </c>
      <c r="O4" s="78" t="s">
        <v>137</v>
      </c>
      <c r="P4" s="78" t="s">
        <v>1296</v>
      </c>
      <c r="Q4" s="78" t="s">
        <v>1296</v>
      </c>
      <c r="R4" s="78" t="s">
        <v>1296</v>
      </c>
      <c r="S4" s="78" t="s">
        <v>1296</v>
      </c>
      <c r="T4" s="78" t="s">
        <v>1296</v>
      </c>
      <c r="U4" s="78" t="s">
        <v>1296</v>
      </c>
      <c r="V4" s="78" t="s">
        <v>1296</v>
      </c>
      <c r="W4" s="78" t="s">
        <v>1296</v>
      </c>
      <c r="X4" s="78" t="s">
        <v>135</v>
      </c>
      <c r="Y4" s="78" t="s">
        <v>135</v>
      </c>
      <c r="Z4" s="78" t="s">
        <v>135</v>
      </c>
      <c r="AA4" s="78" t="s">
        <v>135</v>
      </c>
      <c r="AB4" s="78" t="s">
        <v>135</v>
      </c>
      <c r="AC4" s="78" t="s">
        <v>1292</v>
      </c>
      <c r="AD4" s="78" t="s">
        <v>1297</v>
      </c>
      <c r="AE4" s="78" t="s">
        <v>1290</v>
      </c>
      <c r="AF4" s="78" t="s">
        <v>1290</v>
      </c>
      <c r="AG4" s="78" t="s">
        <v>135</v>
      </c>
      <c r="AH4" s="78" t="s">
        <v>1371</v>
      </c>
      <c r="AI4" s="78" t="s">
        <v>134</v>
      </c>
      <c r="AJ4" s="78">
        <v>12</v>
      </c>
      <c r="AK4" s="78" t="s">
        <v>135</v>
      </c>
      <c r="AL4" s="78" t="s">
        <v>135</v>
      </c>
      <c r="AM4" s="79" t="s">
        <v>138</v>
      </c>
    </row>
  </sheetData>
  <autoFilter ref="A2:AM4" xr:uid="{D00BEA95-FA6F-44CA-910D-19BE1B5C88F3}"/>
  <mergeCells count="4">
    <mergeCell ref="F1:G1"/>
    <mergeCell ref="H1:W1"/>
    <mergeCell ref="X1:AB1"/>
    <mergeCell ref="AC1:AM1"/>
  </mergeCells>
  <dataValidations count="3">
    <dataValidation type="list" allowBlank="1" showInputMessage="1" showErrorMessage="1" sqref="A3:A1048576" xr:uid="{32E8C38A-146E-41A2-BB73-1A24C4290B42}">
      <formula1>"R,G"</formula1>
    </dataValidation>
    <dataValidation type="list" allowBlank="1" showInputMessage="1" showErrorMessage="1" sqref="E3:E4" xr:uid="{1A1E335D-5B67-4E19-9BEB-94E2E82C4CF0}">
      <formula1>"RFQ TOOL - https://rfqtool.wwalliance.com,CENTRIC - https://centric.wwalliance.com"</formula1>
    </dataValidation>
    <dataValidation type="list" allowBlank="1" showInputMessage="1" showErrorMessage="1" sqref="D3:D4" xr:uid="{CFB966F3-4192-4A44-843D-109A056A2F8A}">
      <formula1>"OFR &amp; Service Update Request,Additional new lane request,New validity quote request,Requote/review rate request"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FAK-SCHEDULE</vt:lpstr>
      <vt:lpstr>FAK_Mastersheet</vt:lpstr>
      <vt:lpstr>Customer_Exception</vt:lpstr>
      <vt:lpstr>NAC</vt:lpstr>
      <vt:lpstr>NAC Award overview</vt:lpstr>
      <vt:lpstr>NAC Award - Missing response</vt:lpstr>
      <vt:lpstr>Droplist</vt:lpstr>
      <vt:lpstr>FAK-SETUP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Rajguru, WorldWide Alliance, Pune</dc:creator>
  <cp:keywords/>
  <dc:description/>
  <cp:lastModifiedBy>Pratik Akhare, WorldWide Alliance, Pune</cp:lastModifiedBy>
  <cp:revision/>
  <dcterms:created xsi:type="dcterms:W3CDTF">2026-02-23T12:19:28Z</dcterms:created>
  <dcterms:modified xsi:type="dcterms:W3CDTF">2026-07-28T08:41:45Z</dcterms:modified>
  <cp:category/>
  <cp:contentStatus/>
</cp:coreProperties>
</file>